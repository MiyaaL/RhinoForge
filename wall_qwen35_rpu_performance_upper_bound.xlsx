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典型_308→320" sheetId="1" r:id="rId1"/>
    <sheet name="上限_384" sheetId="2" r:id="rId2"/>
    <sheet name="阶段汇总" sheetId="3" r:id="rId3"/>
    <sheet name="口径与证据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sz val="10"/>
      <name val="Calibri"/>
      <family val="2"/>
    </font>
    <font>
      <b/>
      <sz val="16"/>
      <name val="Microsoft YaHei"/>
    </font>
    <font>
      <b/>
      <sz val="11"/>
      <name val="Microsoft YaHei"/>
    </font>
    <font>
      <sz val="10"/>
      <name val="Microsoft YaHei"/>
    </font>
    <font>
      <i/>
      <sz val="9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D9EAF7"/>
        <bgColor indexed="64"/>
      </patternFill>
    </fill>
    <fill>
      <patternFill patternType="solid">
        <fgColor rgb="E2F0D9"/>
        <bgColor indexed="64"/>
      </patternFill>
    </fill>
    <fill>
      <patternFill patternType="solid">
        <fgColor rgb="FFF2CC"/>
        <bgColor indexed="64"/>
      </patternFill>
    </fill>
    <fill>
      <patternFill patternType="solid">
        <fgColor rgb="FCE4D6"/>
        <bgColor indexed="64"/>
      </patternFill>
    </fill>
  </fills>
  <borders count="2">
    <border>
      <left/>
      <right/>
      <top/>
      <bottom/>
      <diagonal/>
    </border>
    <border>
      <left style="thin">
        <color rgb="B7C9D6"/>
      </left>
      <right style="thin">
        <color rgb="B7C9D6"/>
      </right>
      <top style="thin">
        <color rgb="B7C9D6"/>
      </top>
      <bottom style="thin">
        <color rgb="B7C9D6"/>
      </bottom>
      <diagonal/>
    </border>
  </borders>
  <cellStyleXfs count="1">
    <xf numFmtId="0" fontId="0" fillId="0" borderId="0"/>
  </cellStyleXfs>
  <cellXfs count="17">
    <xf numFmtId="0" fontId="0" fillId="0" borderId="0" xfId="0" applyAlignment="1"/>
    <xf numFmtId="0" fontId="1" fillId="2" borderId="0" xfId="0" applyAlignment="1">
      <alignment horizontal="center" vertical="center"/>
    </xf>
    <xf numFmtId="0" fontId="2" fillId="3" borderId="0" xfId="0" applyAlignment="1">
      <alignment wrapText="1" vertical="center"/>
    </xf>
    <xf numFmtId="0" fontId="2" fillId="2" borderId="1" xfId="0" applyAlignment="1">
      <alignment horizontal="center" vertical="center" wrapText="1"/>
    </xf>
    <xf numFmtId="0" fontId="2" fillId="3" borderId="1" xfId="0" applyAlignment="1">
      <alignment horizontal="center" vertical="center" wrapText="1"/>
    </xf>
    <xf numFmtId="0" fontId="3" fillId="0" borderId="1" xfId="0" applyAlignment="1">
      <alignment vertical="center" wrapText="1"/>
    </xf>
    <xf numFmtId="0" fontId="3" fillId="1" borderId="1" xfId="0" applyAlignment="1">
      <alignment vertical="center" wrapText="1"/>
    </xf>
    <xf numFmtId="0" fontId="3" fillId="4" borderId="1" xfId="0" applyAlignment="1">
      <alignment vertical="center" wrapText="1"/>
    </xf>
    <xf numFmtId="2" fontId="3" fillId="4" borderId="1" xfId="0" applyAlignment="1">
      <alignment horizontal="right" vertical="center"/>
    </xf>
    <xf numFmtId="4" fontId="3" fillId="4" borderId="1" xfId="0" applyAlignment="1">
      <alignment horizontal="right" vertical="center"/>
    </xf>
    <xf numFmtId="0" fontId="3" fillId="5" borderId="1" xfId="0" applyAlignment="1">
      <alignment horizontal="center" vertical="center" wrapText="1"/>
    </xf>
    <xf numFmtId="0" fontId="2" fillId="4" borderId="1" xfId="0" applyAlignment="1">
      <alignment vertical="center" wrapText="1"/>
    </xf>
    <xf numFmtId="2" fontId="2" fillId="4" borderId="1" xfId="0" applyAlignment="1">
      <alignment horizontal="right" vertical="center"/>
    </xf>
    <xf numFmtId="0" fontId="2" fillId="6" borderId="1" xfId="0" applyAlignment="1">
      <alignment vertical="center" wrapText="1"/>
    </xf>
    <xf numFmtId="0" fontId="4" fillId="0" borderId="1" xfId="0" applyAlignment="1">
      <alignment vertical="top" wrapText="1"/>
    </xf>
    <xf numFmtId="2" fontId="3" fillId="3" borderId="1" xfId="0" applyAlignment="1">
      <alignment horizontal="right" vertical="center"/>
    </xf>
    <xf numFmtId="4" fontId="3" fillId="3" borderId="1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1"/>
  <sheetViews>
    <sheetView workbookViewId="0" showGridLines="1">
      <pane xSplit="2" ySplit="6" topLeftCell="C7" activePane="bottomRight" state="frozen"/>
    </sheetView>
  </sheetViews>
  <cols>
    <col min="1" max="1" width="18" customWidth="1"/>
    <col min="2" max="2" width="25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20" customWidth="1"/>
  </cols>
  <sheetData>
    <row r="1" ht="22" customHeight="1">
      <c r="A1" s="1" t="inlineStr">
        <is>
          <t xml:space="preserve">Wall Qwen3.5 · RPU 典型_308→320 · 同口径性能/上限分析</t>
        </is>
      </c>
    </row>
    <row r="2" ht="22" customHeight="1">
      <c r="A2" s="2" t="inlineStr">
        <is>
          <t xml:space="preserve">单位：Mi=2^20；FLOPs=2×M×N×K；所有模型权重按 RPU FP16 2 bytes 计。阶段汇总 B3/B4 使用可编辑的 FP16=100 TFLOP/s、DDR=140 GB/s 情景参数；B3=100 对应 100 TOPS 按 2 operations/MAC，若规格按 1 operation/MAC 则填 200。经验 pure-GEMM 板测另列在‘阶段汇总’，不直接冒充峰值。</t>
        </is>
      </c>
    </row>
    <row r="3" ht="22" customHeight="1">
      <c r="A3" s="2" t="inlineStr">
        <is>
          <t xml:space="preserve">输入：3图 grids=[1,8,14]+[1,10,14]×2（patch=392）；real prefix=308，execution bucket=320，chunks=128/128/64；action=[1,32,26]，10 Euler steps。</t>
        </is>
      </c>
    </row>
    <row r="4" ht="22" customHeight="1">
      <c r="A4" s="13" t="inlineStr">
        <is>
          <t xml:space="preserve">注意：RPU 当前 Wall profile 是 FP16；full-attention KV 由逻辑2头复制为物理8头，GDN b/a 由逻辑16列/路填充为每核16槽（物理 N=128）。</t>
        </is>
      </c>
    </row>
    <row r="5" ht="22" customHeight="1"/>
    <row r="6" ht="22" customHeight="1">
      <c r="A6" s="4" t="inlineStr">
        <is>
          <t xml:space="preserve">指标</t>
        </is>
      </c>
      <c r="B6" s="4" t="inlineStr">
        <is>
          <t xml:space="preserve">单位/说明</t>
        </is>
      </c>
      <c r="C6" s="3" t="inlineStr">
        <is>
          <t xml:space="preserve">Vision · 3 calls / 2 geometry signatures</t>
        </is>
      </c>
      <c r="K6" s="3" t="inlineStr">
        <is>
          <t xml:space="preserve">Text GDN · 18 layers</t>
        </is>
      </c>
      <c r="Q6" s="3" t="inlineStr">
        <is>
          <t xml:space="preserve">Text full · 6 layers</t>
        </is>
      </c>
      <c r="V6" s="3" t="inlineStr">
        <is>
          <t xml:space="preserve">Action identity · 18×10</t>
        </is>
      </c>
      <c r="Y6" s="3" t="inlineStr">
        <is>
          <t xml:space="preserve">Action full · 6×10</t>
        </is>
      </c>
      <c r="AD6" s="3" t="inlineStr">
        <is>
          <t xml:space="preserve">请求合计</t>
        </is>
      </c>
    </row>
    <row r="7" ht="22" customHeight="1">
      <c r="A7" s="5" t="inlineStr">
        <is>
          <t xml:space="preserve">算子</t>
        </is>
      </c>
      <c r="B7" s="6" t="inlineStr">
        <is>
          <t xml:space="preserve">—</t>
        </is>
      </c>
      <c r="C7" s="4" t="inlineStr">
        <is>
          <t xml:space="preserve">STEP0 patch_embed</t>
        </is>
      </c>
      <c r="D7" s="4" t="inlineStr">
        <is>
          <t xml:space="preserve">Block QKV</t>
        </is>
      </c>
      <c r="E7" s="4" t="inlineStr">
        <is>
          <t xml:space="preserve">FlashAttention</t>
        </is>
      </c>
      <c r="F7" s="4" t="inlineStr">
        <is>
          <t xml:space="preserve">Block O</t>
        </is>
      </c>
      <c r="G7" s="4" t="inlineStr">
        <is>
          <t xml:space="preserve">Block Up</t>
        </is>
      </c>
      <c r="H7" s="4" t="inlineStr">
        <is>
          <t xml:space="preserve">Block Down</t>
        </is>
      </c>
      <c r="I7" s="4" t="inlineStr">
        <is>
          <t xml:space="preserve">Merger FC1</t>
        </is>
      </c>
      <c r="J7" s="4" t="inlineStr">
        <is>
          <t xml:space="preserve">Merger FC2</t>
        </is>
      </c>
      <c r="K7" s="4" t="inlineStr">
        <is>
          <t xml:space="preserve">GDN projections</t>
        </is>
      </c>
      <c r="L7" s="4" t="inlineStr">
        <is>
          <t xml:space="preserve">GDN Conv1D</t>
        </is>
      </c>
      <c r="M7" s="4" t="inlineStr">
        <is>
          <t xml:space="preserve">GDN delta/BMM</t>
        </is>
      </c>
      <c r="N7" s="4" t="inlineStr">
        <is>
          <t xml:space="preserve">GDN O</t>
        </is>
      </c>
      <c r="O7" s="4" t="inlineStr">
        <is>
          <t xml:space="preserve">GDN GateUp</t>
        </is>
      </c>
      <c r="P7" s="4" t="inlineStr">
        <is>
          <t xml:space="preserve">GDN Down</t>
        </is>
      </c>
      <c r="Q7" s="4" t="inlineStr">
        <is>
          <t xml:space="preserve">Full QKV+gate</t>
        </is>
      </c>
      <c r="R7" s="4" t="inlineStr">
        <is>
          <t xml:space="preserve">Full FlashAttention</t>
        </is>
      </c>
      <c r="S7" s="4" t="inlineStr">
        <is>
          <t xml:space="preserve">Full O</t>
        </is>
      </c>
      <c r="T7" s="4" t="inlineStr">
        <is>
          <t xml:space="preserve">Full GateUp</t>
        </is>
      </c>
      <c r="U7" s="4" t="inlineStr">
        <is>
          <t xml:space="preserve">Full Down</t>
        </is>
      </c>
      <c r="V7" s="4" t="inlineStr">
        <is>
          <t xml:space="preserve">AdaLN/residual gate</t>
        </is>
      </c>
      <c r="W7" s="4" t="inlineStr">
        <is>
          <t xml:space="preserve">Identity GateUp</t>
        </is>
      </c>
      <c r="X7" s="4" t="inlineStr">
        <is>
          <t xml:space="preserve">Identity Down</t>
        </is>
      </c>
      <c r="Y7" s="4" t="inlineStr">
        <is>
          <t xml:space="preserve">Action Full QKV+gate</t>
        </is>
      </c>
      <c r="Z7" s="4" t="inlineStr">
        <is>
          <t xml:space="preserve">Action FlashAttention</t>
        </is>
      </c>
      <c r="AA7" s="4" t="inlineStr">
        <is>
          <t xml:space="preserve">Action Full O</t>
        </is>
      </c>
      <c r="AB7" s="4" t="inlineStr">
        <is>
          <t xml:space="preserve">Action Full GateUp</t>
        </is>
      </c>
      <c r="AC7" s="4" t="inlineStr">
        <is>
          <t xml:space="preserve">Action Full Down</t>
        </is>
      </c>
      <c r="AD7" s="4" t="inlineStr">
        <is>
          <t xml:space="preserve">Σ all listed ops</t>
        </is>
      </c>
    </row>
    <row r="8" ht="30" customHeight="1">
      <c r="A8" s="5" t="inlineStr">
        <is>
          <t xml:space="preserve">逻辑 shape</t>
        </is>
      </c>
      <c r="B8" s="6" t="inlineStr">
        <is>
          <t xml:space="preserve">[M,K]×[K,N]；—表示非GEMM</t>
        </is>
      </c>
      <c r="C8" s="6" t="inlineStr">
        <is>
          <t xml:space="preserve">[112/140,1536]×[1536,1024]</t>
        </is>
      </c>
      <c r="D8" s="6" t="inlineStr">
        <is>
          <t xml:space="preserve">[M,1024]×[1024,3072]</t>
        </is>
      </c>
      <c r="E8" s="6" t="inlineStr">
        <is>
          <t xml:space="preserve">[1,16,M,M,64]</t>
        </is>
      </c>
      <c r="F8" s="6" t="inlineStr">
        <is>
          <t xml:space="preserve">[M,1024]×[1024,1024]</t>
        </is>
      </c>
      <c r="G8" s="6" t="inlineStr">
        <is>
          <t xml:space="preserve">[M,1024]×[1024,4096]</t>
        </is>
      </c>
      <c r="H8" s="6" t="inlineStr">
        <is>
          <t xml:space="preserve">[M,4096]×[4096,1024]</t>
        </is>
      </c>
      <c r="I8" s="6" t="inlineStr">
        <is>
          <t xml:space="preserve">[28/35,4096]×[4096,4096]</t>
        </is>
      </c>
      <c r="J8" s="6" t="inlineStr">
        <is>
          <t xml:space="preserve">[28/35,4096]×[4096,2048]</t>
        </is>
      </c>
      <c r="K8" s="6" t="inlineStr">
        <is>
          <t xml:space="preserve">[M,2048]×[2048,8224]</t>
        </is>
      </c>
      <c r="L8" s="6" t="inlineStr">
        <is>
          <t xml:space="preserve">conv_dim=6144,k=4</t>
        </is>
      </c>
      <c r="M8" s="6" t="inlineStr">
        <is>
          <t xml:space="preserve">C=64,Hc=2,Dk=Dv=128</t>
        </is>
      </c>
      <c r="N8" s="6" t="inlineStr">
        <is>
          <t xml:space="preserve">[M,2048]×[2048,2048]</t>
        </is>
      </c>
      <c r="O8" s="6" t="inlineStr">
        <is>
          <t xml:space="preserve">[M,2048]×[2048,12288]</t>
        </is>
      </c>
      <c r="P8" s="6" t="inlineStr">
        <is>
          <t xml:space="preserve">[M,6144]×[6144,2048]</t>
        </is>
      </c>
      <c r="Q8" s="6" t="inlineStr">
        <is>
          <t xml:space="preserve">[M,2048]×[2048,5120]</t>
        </is>
      </c>
      <c r="R8" s="6" t="inlineStr">
        <is>
          <t xml:space="preserve">Q=M, KV=cumulative; H=8,D=256</t>
        </is>
      </c>
      <c r="S8" s="6" t="inlineStr">
        <is>
          <t xml:space="preserve">[M,2048]×[2048,2048]</t>
        </is>
      </c>
      <c r="T8" s="6" t="inlineStr">
        <is>
          <t xml:space="preserve">[M,2048]×[2048,12288]</t>
        </is>
      </c>
      <c r="U8" s="6" t="inlineStr">
        <is>
          <t xml:space="preserve">[M,6144]×[6144,2048]</t>
        </is>
      </c>
      <c r="V8" s="6" t="inlineStr">
        <is>
          <t xml:space="preserve">[32,1024]</t>
        </is>
      </c>
      <c r="W8" s="6" t="inlineStr">
        <is>
          <t xml:space="preserve">[32,1024]×[1024,4096]</t>
        </is>
      </c>
      <c r="X8" s="6" t="inlineStr">
        <is>
          <t xml:space="preserve">[32,2048]×[2048,1024]</t>
        </is>
      </c>
      <c r="Y8" s="6" t="inlineStr">
        <is>
          <t xml:space="preserve">[32,1024]×[1024,5120]</t>
        </is>
      </c>
      <c r="Z8" s="6" t="inlineStr">
        <is>
          <t xml:space="preserve">Q=32, KV=prefix+32; H=8,D=256</t>
        </is>
      </c>
      <c r="AA8" s="6" t="inlineStr">
        <is>
          <t xml:space="preserve">[32,2048]×[2048,1024]</t>
        </is>
      </c>
      <c r="AB8" s="6" t="inlineStr">
        <is>
          <t xml:space="preserve">[32,1024]×[1024,4096]</t>
        </is>
      </c>
      <c r="AC8" s="6" t="inlineStr">
        <is>
          <t xml:space="preserve">[32,2048]×[2048,1024]</t>
        </is>
      </c>
      <c r="AD8" s="6" t="inlineStr">
        <is>
          <t xml:space="preserve">strict known arithmetic</t>
        </is>
      </c>
    </row>
    <row r="9" ht="30" customHeight="1">
      <c r="A9" s="5" t="inlineStr">
        <is>
          <t xml:space="preserve">RPU physical launch</t>
        </is>
      </c>
      <c r="B9" s="6" t="inlineStr">
        <is>
          <t xml:space="preserve">含 KV replication / b-a padding</t>
        </is>
      </c>
      <c r="C9" s="6" t="inlineStr">
        <is>
          <t xml:space="preserve">[112/140,1536]×[1536,1024]</t>
        </is>
      </c>
      <c r="D9" s="6" t="inlineStr">
        <is>
          <t xml:space="preserve">3×[M,1024]×[1024,1024]</t>
        </is>
      </c>
      <c r="E9" s="6" t="inlineStr">
        <is>
          <t xml:space="preserve">M=112,140,140; H=16,D=64</t>
        </is>
      </c>
      <c r="F9" s="6" t="inlineStr">
        <is>
          <t xml:space="preserve">[M,1024]×[1024,1024]</t>
        </is>
      </c>
      <c r="G9" s="6" t="inlineStr">
        <is>
          <t xml:space="preserve">[M,1024]×[1024,4096]</t>
        </is>
      </c>
      <c r="H9" s="6" t="inlineStr">
        <is>
          <t xml:space="preserve">[M,4096]×[4096,1024]</t>
        </is>
      </c>
      <c r="I9" s="6" t="inlineStr">
        <is>
          <t xml:space="preserve">[28/35,4096]×[4096,4096]</t>
        </is>
      </c>
      <c r="J9" s="6" t="inlineStr">
        <is>
          <t xml:space="preserve">[28/35,4096]×[4096,2048]</t>
        </is>
      </c>
      <c r="K9" s="6" t="inlineStr">
        <is>
          <t xml:space="preserve">4×[M,2048]×[2048,2048] + 2×[M,2048]×[2048,128]</t>
        </is>
      </c>
      <c r="L9" s="6" t="inlineStr">
        <is>
          <t xml:space="preserve">q/k/v path conv, k=4</t>
        </is>
      </c>
      <c r="M9" s="6" t="inlineStr">
        <is>
          <t xml:space="preserve">assembled BMM/eltwise graph</t>
        </is>
      </c>
      <c r="N9" s="6" t="inlineStr">
        <is>
          <t xml:space="preserve">[M,2048]×[2048,2048]</t>
        </is>
      </c>
      <c r="O9" s="6" t="inlineStr">
        <is>
          <t xml:space="preserve">[M,2048]×[2048,12288]</t>
        </is>
      </c>
      <c r="P9" s="6" t="inlineStr">
        <is>
          <t xml:space="preserve">[M,6144]×[6144,2048]</t>
        </is>
      </c>
      <c r="Q9" s="6" t="inlineStr">
        <is>
          <t xml:space="preserve">[M,2048]×[2048,8192] (KV 2→8 replicate)</t>
        </is>
      </c>
      <c r="R9" s="6" t="inlineStr">
        <is>
          <t xml:space="preserve">chunks=(128, 128, 64); KV=(128, 256, 320)</t>
        </is>
      </c>
      <c r="S9" s="6" t="inlineStr">
        <is>
          <t xml:space="preserve">[M,2048]×[2048,2048]</t>
        </is>
      </c>
      <c r="T9" s="6" t="inlineStr">
        <is>
          <t xml:space="preserve">[M,2048]×[2048,12288]</t>
        </is>
      </c>
      <c r="U9" s="6" t="inlineStr">
        <is>
          <t xml:space="preserve">[M,6144]×[6144,2048]</t>
        </is>
      </c>
      <c r="V9" s="6" t="inlineStr">
        <is>
          <t xml:space="preserve">FP16 RMSNorm + gate; modulation host FP32</t>
        </is>
      </c>
      <c r="W9" s="6" t="inlineStr">
        <is>
          <t xml:space="preserve">[32,1024]×[1024,4096]</t>
        </is>
      </c>
      <c r="X9" s="6" t="inlineStr">
        <is>
          <t xml:space="preserve">[32,2048]×[2048,1024]</t>
        </is>
      </c>
      <c r="Y9" s="6" t="inlineStr">
        <is>
          <t xml:space="preserve">[32,1024]×[1024,8192] (KV 2→8 replicate)</t>
        </is>
      </c>
      <c r="Z9" s="6" t="inlineStr">
        <is>
          <t xml:space="preserve">prefix real=308, KV=340</t>
        </is>
      </c>
      <c r="AA9" s="6" t="inlineStr">
        <is>
          <t xml:space="preserve">[32,2048]×[2048,1024]</t>
        </is>
      </c>
      <c r="AB9" s="6" t="inlineStr">
        <is>
          <t xml:space="preserve">[32,1024]×[1024,4096]</t>
        </is>
      </c>
      <c r="AC9" s="6" t="inlineStr">
        <is>
          <t xml:space="preserve">[32,2048]×[2048,1024]</t>
        </is>
      </c>
      <c r="AD9" s="6" t="inlineStr">
        <is>
          <t xml:space="preserve">assumed FP16 weight-stream proxy</t>
        </is>
      </c>
    </row>
    <row r="10" ht="22" customHeight="1">
      <c r="A10" s="5" t="inlineStr">
        <is>
          <t xml:space="preserve">调用次数</t>
        </is>
      </c>
      <c r="B10" s="6" t="inlineStr">
        <is>
          <t xml:space="preserve">权重流量的重复因子</t>
        </is>
      </c>
      <c r="C10" s="5" t="inlineStr">
        <is>
          <t xml:space="preserve">3图</t>
        </is>
      </c>
      <c r="D10" s="5" t="inlineStr">
        <is>
          <t xml:space="preserve">3图×24层</t>
        </is>
      </c>
      <c r="E10" s="5" t="inlineStr">
        <is>
          <t xml:space="preserve">3图×24层</t>
        </is>
      </c>
      <c r="F10" s="5" t="inlineStr">
        <is>
          <t xml:space="preserve">3图×24层</t>
        </is>
      </c>
      <c r="G10" s="5" t="inlineStr">
        <is>
          <t xml:space="preserve">3图×24层</t>
        </is>
      </c>
      <c r="H10" s="5" t="inlineStr">
        <is>
          <t xml:space="preserve">3图×24层</t>
        </is>
      </c>
      <c r="I10" s="5" t="inlineStr">
        <is>
          <t xml:space="preserve">3图</t>
        </is>
      </c>
      <c r="J10" s="5" t="inlineStr">
        <is>
          <t xml:space="preserve">3图</t>
        </is>
      </c>
      <c r="K10" s="5" t="inlineStr">
        <is>
          <t xml:space="preserve">3 chunks×18层</t>
        </is>
      </c>
      <c r="L10" s="5" t="inlineStr">
        <is>
          <t xml:space="preserve">3 chunks×18层</t>
        </is>
      </c>
      <c r="M10" s="5" t="inlineStr">
        <is>
          <t xml:space="preserve">3 chunks×18层</t>
        </is>
      </c>
      <c r="N10" s="5" t="inlineStr">
        <is>
          <t xml:space="preserve">3 chunks×18层</t>
        </is>
      </c>
      <c r="O10" s="5" t="inlineStr">
        <is>
          <t xml:space="preserve">3 chunks×18层</t>
        </is>
      </c>
      <c r="P10" s="5" t="inlineStr">
        <is>
          <t xml:space="preserve">3 chunks×18层</t>
        </is>
      </c>
      <c r="Q10" s="5" t="inlineStr">
        <is>
          <t xml:space="preserve">3 chunks×6层</t>
        </is>
      </c>
      <c r="R10" s="5" t="inlineStr">
        <is>
          <t xml:space="preserve">3 chunks×6层</t>
        </is>
      </c>
      <c r="S10" s="5" t="inlineStr">
        <is>
          <t xml:space="preserve">3 chunks×6层</t>
        </is>
      </c>
      <c r="T10" s="5" t="inlineStr">
        <is>
          <t xml:space="preserve">3 chunks×6层</t>
        </is>
      </c>
      <c r="U10" s="5" t="inlineStr">
        <is>
          <t xml:space="preserve">3 chunks×6层</t>
        </is>
      </c>
      <c r="V10" s="5" t="inlineStr">
        <is>
          <t xml:space="preserve">10 steps×18层</t>
        </is>
      </c>
      <c r="W10" s="5" t="inlineStr">
        <is>
          <t xml:space="preserve">10 steps×18层</t>
        </is>
      </c>
      <c r="X10" s="5" t="inlineStr">
        <is>
          <t xml:space="preserve">10 steps×18层</t>
        </is>
      </c>
      <c r="Y10" s="5" t="inlineStr">
        <is>
          <t xml:space="preserve">10 steps×6层</t>
        </is>
      </c>
      <c r="Z10" s="5" t="inlineStr">
        <is>
          <t xml:space="preserve">10 steps×6层</t>
        </is>
      </c>
      <c r="AA10" s="5" t="inlineStr">
        <is>
          <t xml:space="preserve">10 steps×6层</t>
        </is>
      </c>
      <c r="AB10" s="5" t="inlineStr">
        <is>
          <t xml:space="preserve">10 steps×6层</t>
        </is>
      </c>
      <c r="AC10" s="5" t="inlineStr">
        <is>
          <t xml:space="preserve">10 steps×6层</t>
        </is>
      </c>
      <c r="AD10" s="5" t="inlineStr">
        <is>
          <t xml:space="preserve">request</t>
        </is>
      </c>
    </row>
    <row r="11" ht="22" customHeight="1">
      <c r="A11" s="5" t="inlineStr">
        <is>
          <t xml:space="preserve">逻辑参数</t>
        </is>
      </c>
      <c r="B11" s="6" t="inlineStr">
        <is>
          <t xml:space="preserve">Mi parameters / layer or call</t>
        </is>
      </c>
      <c r="C11" s="15">
        <v>1.5</v>
      </c>
      <c r="D11" s="15">
        <v>3</v>
      </c>
      <c r="E11" s="15" t="inlineStr">
        <is>
          <t xml:space="preserve">—</t>
        </is>
      </c>
      <c r="F11" s="15">
        <v>1</v>
      </c>
      <c r="G11" s="15">
        <v>4</v>
      </c>
      <c r="H11" s="15">
        <v>4</v>
      </c>
      <c r="I11" s="15">
        <v>16</v>
      </c>
      <c r="J11" s="15">
        <v>8</v>
      </c>
      <c r="K11" s="15">
        <v>16.0625</v>
      </c>
      <c r="L11" s="15">
        <v>0.0234375</v>
      </c>
      <c r="M11" s="15" t="inlineStr">
        <is>
          <t xml:space="preserve">—</t>
        </is>
      </c>
      <c r="N11" s="15">
        <v>4</v>
      </c>
      <c r="O11" s="15">
        <v>24</v>
      </c>
      <c r="P11" s="15">
        <v>12</v>
      </c>
      <c r="Q11" s="15">
        <v>10</v>
      </c>
      <c r="R11" s="15" t="inlineStr">
        <is>
          <t xml:space="preserve">—</t>
        </is>
      </c>
      <c r="S11" s="15">
        <v>4</v>
      </c>
      <c r="T11" s="15">
        <v>24</v>
      </c>
      <c r="U11" s="15">
        <v>12</v>
      </c>
      <c r="V11" s="15" t="inlineStr">
        <is>
          <t xml:space="preserve">—</t>
        </is>
      </c>
      <c r="W11" s="15">
        <v>4</v>
      </c>
      <c r="X11" s="15">
        <v>2</v>
      </c>
      <c r="Y11" s="15">
        <v>5</v>
      </c>
      <c r="Z11" s="15" t="inlineStr">
        <is>
          <t xml:space="preserve">—</t>
        </is>
      </c>
      <c r="AA11" s="15">
        <v>2</v>
      </c>
      <c r="AB11" s="15">
        <v>4</v>
      </c>
      <c r="AC11" s="15">
        <v>2</v>
      </c>
      <c r="AD11" s="15" t="inlineStr">
        <is>
          <t xml:space="preserve">—</t>
        </is>
      </c>
    </row>
    <row r="12" ht="22" customHeight="1">
      <c r="A12" s="5" t="inlineStr">
        <is>
          <t xml:space="preserve">RPU参数</t>
        </is>
      </c>
      <c r="B12" s="6" t="inlineStr">
        <is>
          <t xml:space="preserve">Mi parameters / physical launch</t>
        </is>
      </c>
      <c r="C12" s="15">
        <v>1.5</v>
      </c>
      <c r="D12" s="15">
        <v>3</v>
      </c>
      <c r="E12" s="15" t="inlineStr">
        <is>
          <t xml:space="preserve">—</t>
        </is>
      </c>
      <c r="F12" s="15">
        <v>1</v>
      </c>
      <c r="G12" s="15">
        <v>4</v>
      </c>
      <c r="H12" s="15">
        <v>4</v>
      </c>
      <c r="I12" s="15">
        <v>16</v>
      </c>
      <c r="J12" s="15">
        <v>8</v>
      </c>
      <c r="K12" s="15">
        <v>16.5</v>
      </c>
      <c r="L12" s="15">
        <v>0.0234375</v>
      </c>
      <c r="M12" s="15" t="inlineStr">
        <is>
          <t xml:space="preserve">—</t>
        </is>
      </c>
      <c r="N12" s="15">
        <v>4</v>
      </c>
      <c r="O12" s="15">
        <v>24</v>
      </c>
      <c r="P12" s="15">
        <v>12</v>
      </c>
      <c r="Q12" s="15">
        <v>16</v>
      </c>
      <c r="R12" s="15" t="inlineStr">
        <is>
          <t xml:space="preserve">—</t>
        </is>
      </c>
      <c r="S12" s="15">
        <v>4</v>
      </c>
      <c r="T12" s="15">
        <v>24</v>
      </c>
      <c r="U12" s="15">
        <v>12</v>
      </c>
      <c r="V12" s="15" t="inlineStr">
        <is>
          <t xml:space="preserve">—</t>
        </is>
      </c>
      <c r="W12" s="15">
        <v>4</v>
      </c>
      <c r="X12" s="15">
        <v>2</v>
      </c>
      <c r="Y12" s="15">
        <v>8</v>
      </c>
      <c r="Z12" s="15" t="inlineStr">
        <is>
          <t xml:space="preserve">—</t>
        </is>
      </c>
      <c r="AA12" s="15">
        <v>2</v>
      </c>
      <c r="AB12" s="15">
        <v>4</v>
      </c>
      <c r="AC12" s="15">
        <v>2</v>
      </c>
      <c r="AD12" s="15" t="inlineStr">
        <is>
          <t xml:space="preserve">—</t>
        </is>
      </c>
    </row>
    <row r="13" ht="22" customHeight="1">
      <c r="A13" s="5" t="inlineStr">
        <is>
          <t xml:space="preserve">每参数字节</t>
        </is>
      </c>
      <c r="B13" s="6" t="inlineStr">
        <is>
          <t xml:space="preserve">FP16=2；非GEMM为—</t>
        </is>
      </c>
      <c r="C13" s="15">
        <v>2</v>
      </c>
      <c r="D13" s="15">
        <v>2</v>
      </c>
      <c r="E13" s="15" t="inlineStr">
        <is>
          <t xml:space="preserve">—</t>
        </is>
      </c>
      <c r="F13" s="15">
        <v>2</v>
      </c>
      <c r="G13" s="15">
        <v>2</v>
      </c>
      <c r="H13" s="15">
        <v>2</v>
      </c>
      <c r="I13" s="15">
        <v>2</v>
      </c>
      <c r="J13" s="15">
        <v>2</v>
      </c>
      <c r="K13" s="15">
        <v>2</v>
      </c>
      <c r="L13" s="15">
        <v>2</v>
      </c>
      <c r="M13" s="15" t="inlineStr">
        <is>
          <t xml:space="preserve">—</t>
        </is>
      </c>
      <c r="N13" s="15">
        <v>2</v>
      </c>
      <c r="O13" s="15">
        <v>2</v>
      </c>
      <c r="P13" s="15">
        <v>2</v>
      </c>
      <c r="Q13" s="15">
        <v>2</v>
      </c>
      <c r="R13" s="15" t="inlineStr">
        <is>
          <t xml:space="preserve">—</t>
        </is>
      </c>
      <c r="S13" s="15">
        <v>2</v>
      </c>
      <c r="T13" s="15">
        <v>2</v>
      </c>
      <c r="U13" s="15">
        <v>2</v>
      </c>
      <c r="V13" s="15" t="inlineStr">
        <is>
          <t xml:space="preserve">—</t>
        </is>
      </c>
      <c r="W13" s="15">
        <v>2</v>
      </c>
      <c r="X13" s="15">
        <v>2</v>
      </c>
      <c r="Y13" s="15">
        <v>2</v>
      </c>
      <c r="Z13" s="15" t="inlineStr">
        <is>
          <t xml:space="preserve">—</t>
        </is>
      </c>
      <c r="AA13" s="15">
        <v>2</v>
      </c>
      <c r="AB13" s="15">
        <v>2</v>
      </c>
      <c r="AC13" s="15">
        <v>2</v>
      </c>
      <c r="AD13" s="15">
        <v>2</v>
      </c>
    </row>
    <row r="14" ht="22" customHeight="1">
      <c r="A14" s="11" t="inlineStr">
        <is>
          <t xml:space="preserve">假设权重流量 proxy</t>
        </is>
      </c>
      <c r="B14" s="6" t="inlineStr">
        <is>
          <t xml:space="preserve">MiB/request；参数字节×假定 stream 次数</t>
        </is>
      </c>
      <c r="C14" s="15">
        <v>9</v>
      </c>
      <c r="D14" s="15">
        <v>432</v>
      </c>
      <c r="E14" s="15" t="inlineStr">
        <is>
          <t xml:space="preserve">—</t>
        </is>
      </c>
      <c r="F14" s="15">
        <v>144</v>
      </c>
      <c r="G14" s="15">
        <v>576</v>
      </c>
      <c r="H14" s="15">
        <v>576</v>
      </c>
      <c r="I14" s="15">
        <v>96</v>
      </c>
      <c r="J14" s="15">
        <v>48</v>
      </c>
      <c r="K14" s="15">
        <v>1782</v>
      </c>
      <c r="L14" s="15">
        <v>2.53125</v>
      </c>
      <c r="M14" s="15" t="inlineStr">
        <is>
          <t xml:space="preserve">—</t>
        </is>
      </c>
      <c r="N14" s="15">
        <v>432</v>
      </c>
      <c r="O14" s="15">
        <v>2592</v>
      </c>
      <c r="P14" s="15">
        <v>1296</v>
      </c>
      <c r="Q14" s="15">
        <v>576</v>
      </c>
      <c r="R14" s="15" t="inlineStr">
        <is>
          <t xml:space="preserve">—</t>
        </is>
      </c>
      <c r="S14" s="15">
        <v>144</v>
      </c>
      <c r="T14" s="15">
        <v>864</v>
      </c>
      <c r="U14" s="15">
        <v>432</v>
      </c>
      <c r="V14" s="15" t="inlineStr">
        <is>
          <t xml:space="preserve">—</t>
        </is>
      </c>
      <c r="W14" s="15">
        <v>1440</v>
      </c>
      <c r="X14" s="15">
        <v>720</v>
      </c>
      <c r="Y14" s="15">
        <v>960</v>
      </c>
      <c r="Z14" s="15" t="inlineStr">
        <is>
          <t xml:space="preserve">—</t>
        </is>
      </c>
      <c r="AA14" s="15">
        <v>240</v>
      </c>
      <c r="AB14" s="15">
        <v>480</v>
      </c>
      <c r="AC14" s="15">
        <v>240</v>
      </c>
      <c r="AD14" s="16">
        <v>14081.53125</v>
      </c>
    </row>
    <row r="15" ht="22" customHeight="1">
      <c r="A15" s="11" t="inlineStr">
        <is>
          <t xml:space="preserve">严格已知 FLOPs</t>
        </is>
      </c>
      <c r="B15" s="6" t="inlineStr">
        <is>
          <t xml:space="preserve">MiFLOP/request；不含未建模项</t>
        </is>
      </c>
      <c r="C15" s="15">
        <v>1176</v>
      </c>
      <c r="D15" s="15">
        <v>56448</v>
      </c>
      <c r="E15" s="15">
        <v>4851</v>
      </c>
      <c r="F15" s="15">
        <v>18816</v>
      </c>
      <c r="G15" s="15">
        <v>75264</v>
      </c>
      <c r="H15" s="15">
        <v>75264</v>
      </c>
      <c r="I15" s="15">
        <v>3136</v>
      </c>
      <c r="J15" s="15">
        <v>1568</v>
      </c>
      <c r="K15" s="15">
        <v>190080</v>
      </c>
      <c r="L15" s="15">
        <v>270</v>
      </c>
      <c r="M15" s="15" t="inlineStr">
        <is>
          <t xml:space="preserve">—</t>
        </is>
      </c>
      <c r="N15" s="15">
        <v>46080</v>
      </c>
      <c r="O15" s="15">
        <v>276480</v>
      </c>
      <c r="P15" s="15">
        <v>138240</v>
      </c>
      <c r="Q15" s="15">
        <v>61440</v>
      </c>
      <c r="R15" s="15">
        <v>3264</v>
      </c>
      <c r="S15" s="15">
        <v>15360</v>
      </c>
      <c r="T15" s="15">
        <v>92160</v>
      </c>
      <c r="U15" s="15">
        <v>46080</v>
      </c>
      <c r="V15" s="15" t="inlineStr">
        <is>
          <t xml:space="preserve">—</t>
        </is>
      </c>
      <c r="W15" s="15">
        <v>46080</v>
      </c>
      <c r="X15" s="15">
        <v>23040</v>
      </c>
      <c r="Y15" s="15">
        <v>30720</v>
      </c>
      <c r="Z15" s="15">
        <v>5100</v>
      </c>
      <c r="AA15" s="15">
        <v>7680</v>
      </c>
      <c r="AB15" s="15">
        <v>15360</v>
      </c>
      <c r="AC15" s="15">
        <v>7680</v>
      </c>
      <c r="AD15" s="16">
        <v>1241637</v>
      </c>
    </row>
    <row r="16" ht="22" customHeight="1">
      <c r="A16" s="5" t="inlineStr">
        <is>
          <t xml:space="preserve">补充 BMM FLOPs</t>
        </is>
      </c>
      <c r="B16" s="6" t="inlineStr">
        <is>
          <t xml:space="preserve">MiFLOP；每核 critical-path proxy，芯片聚合约×8；不入严格合计</t>
        </is>
      </c>
      <c r="C16" s="15" t="inlineStr">
        <is>
          <t xml:space="preserve">—</t>
        </is>
      </c>
      <c r="D16" s="15" t="inlineStr">
        <is>
          <t xml:space="preserve">—</t>
        </is>
      </c>
      <c r="E16" s="15" t="inlineStr">
        <is>
          <t xml:space="preserve">—</t>
        </is>
      </c>
      <c r="F16" s="15" t="inlineStr">
        <is>
          <t xml:space="preserve">—</t>
        </is>
      </c>
      <c r="G16" s="15" t="inlineStr">
        <is>
          <t xml:space="preserve">—</t>
        </is>
      </c>
      <c r="H16" s="15" t="inlineStr">
        <is>
          <t xml:space="preserve">—</t>
        </is>
      </c>
      <c r="I16" s="15" t="inlineStr">
        <is>
          <t xml:space="preserve">—</t>
        </is>
      </c>
      <c r="J16" s="15" t="inlineStr">
        <is>
          <t xml:space="preserve">—</t>
        </is>
      </c>
      <c r="K16" s="15" t="inlineStr">
        <is>
          <t xml:space="preserve">—</t>
        </is>
      </c>
      <c r="L16" s="15" t="inlineStr">
        <is>
          <t xml:space="preserve">—</t>
        </is>
      </c>
      <c r="M16" s="15">
        <v>1980</v>
      </c>
      <c r="N16" s="15" t="inlineStr">
        <is>
          <t xml:space="preserve">—</t>
        </is>
      </c>
      <c r="O16" s="15" t="inlineStr">
        <is>
          <t xml:space="preserve">—</t>
        </is>
      </c>
      <c r="P16" s="15" t="inlineStr">
        <is>
          <t xml:space="preserve">—</t>
        </is>
      </c>
      <c r="Q16" s="15" t="inlineStr">
        <is>
          <t xml:space="preserve">—</t>
        </is>
      </c>
      <c r="R16" s="15" t="inlineStr">
        <is>
          <t xml:space="preserve">—</t>
        </is>
      </c>
      <c r="S16" s="15" t="inlineStr">
        <is>
          <t xml:space="preserve">—</t>
        </is>
      </c>
      <c r="T16" s="15" t="inlineStr">
        <is>
          <t xml:space="preserve">—</t>
        </is>
      </c>
      <c r="U16" s="15" t="inlineStr">
        <is>
          <t xml:space="preserve">—</t>
        </is>
      </c>
      <c r="V16" s="15" t="inlineStr">
        <is>
          <t xml:space="preserve">—</t>
        </is>
      </c>
      <c r="W16" s="15" t="inlineStr">
        <is>
          <t xml:space="preserve">—</t>
        </is>
      </c>
      <c r="X16" s="15" t="inlineStr">
        <is>
          <t xml:space="preserve">—</t>
        </is>
      </c>
      <c r="Y16" s="15" t="inlineStr">
        <is>
          <t xml:space="preserve">—</t>
        </is>
      </c>
      <c r="Z16" s="15" t="inlineStr">
        <is>
          <t xml:space="preserve">—</t>
        </is>
      </c>
      <c r="AA16" s="15" t="inlineStr">
        <is>
          <t xml:space="preserve">—</t>
        </is>
      </c>
      <c r="AB16" s="15" t="inlineStr">
        <is>
          <t xml:space="preserve">—</t>
        </is>
      </c>
      <c r="AC16" s="15" t="inlineStr">
        <is>
          <t xml:space="preserve">—</t>
        </is>
      </c>
      <c r="AD16" s="16">
        <v>1980</v>
      </c>
    </row>
    <row r="17" ht="22" customHeight="1">
      <c r="A17" s="5" t="inlineStr">
        <is>
          <t xml:space="preserve">compute floor</t>
        </is>
      </c>
      <c r="B17" s="6" t="inlineStr">
        <is>
          <t xml:space="preserve">ms；P=阶段汇总!B3（TFLOP/s）</t>
        </is>
      </c>
      <c r="C17" s="10">
        <f>IF(NOT(ISNUMBER('阶段汇总'!$B$3)),"待校准",1176*1048576/('阶段汇总'!$B$3*1000000000000)*1000)</f>
        <v>0.01233125376</v>
      </c>
      <c r="D17" s="10">
        <f>IF(NOT(ISNUMBER('阶段汇总'!$B$3)),"待校准",56448*1048576/('阶段汇总'!$B$3*1000000000000)*1000)</f>
        <v>0.59190018048</v>
      </c>
      <c r="E17" s="10">
        <f>IF(NOT(ISNUMBER('阶段汇总'!$B$3)),"待校准",4851*1048576/('阶段汇总'!$B$3*1000000000000)*1000)</f>
        <v>0.05086642176</v>
      </c>
      <c r="F17" s="10">
        <f>IF(NOT(ISNUMBER('阶段汇总'!$B$3)),"待校准",18816*1048576/('阶段汇总'!$B$3*1000000000000)*1000)</f>
        <v>0.19730006016</v>
      </c>
      <c r="G17" s="10">
        <f>IF(NOT(ISNUMBER('阶段汇总'!$B$3)),"待校准",75264*1048576/('阶段汇总'!$B$3*1000000000000)*1000)</f>
        <v>0.78920024064</v>
      </c>
      <c r="H17" s="10">
        <f>IF(NOT(ISNUMBER('阶段汇总'!$B$3)),"待校准",75264*1048576/('阶段汇总'!$B$3*1000000000000)*1000)</f>
        <v>0.78920024064</v>
      </c>
      <c r="I17" s="10">
        <f>IF(NOT(ISNUMBER('阶段汇总'!$B$3)),"待校准",3136*1048576/('阶段汇总'!$B$3*1000000000000)*1000)</f>
        <v>0.03288334336</v>
      </c>
      <c r="J17" s="10">
        <f>IF(NOT(ISNUMBER('阶段汇总'!$B$3)),"待校准",1568*1048576/('阶段汇总'!$B$3*1000000000000)*1000)</f>
        <v>0.01644167168</v>
      </c>
      <c r="K17" s="10">
        <f>IF(NOT(ISNUMBER('阶段汇总'!$B$3)),"待校准",190080*1048576/('阶段汇总'!$B$3*1000000000000)*1000)</f>
        <v>1.9931332608</v>
      </c>
      <c r="L17" s="10">
        <f>IF(NOT(ISNUMBER('阶段汇总'!$B$3)),"待校准",270*1048576/('阶段汇总'!$B$3*1000000000000)*1000)</f>
        <v>0.0028311552</v>
      </c>
      <c r="M17" s="10" t="inlineStr">
        <is>
          <t xml:space="preserve">N/A</t>
        </is>
      </c>
      <c r="N17" s="10">
        <f>IF(NOT(ISNUMBER('阶段汇总'!$B$3)),"待校准",46080*1048576/('阶段汇总'!$B$3*1000000000000)*1000)</f>
        <v>0.4831838208</v>
      </c>
      <c r="O17" s="10">
        <f>IF(NOT(ISNUMBER('阶段汇总'!$B$3)),"待校准",276480*1048576/('阶段汇总'!$B$3*1000000000000)*1000)</f>
        <v>2.8991029248</v>
      </c>
      <c r="P17" s="10">
        <f>IF(NOT(ISNUMBER('阶段汇总'!$B$3)),"待校准",138240*1048576/('阶段汇总'!$B$3*1000000000000)*1000)</f>
        <v>1.4495514624</v>
      </c>
      <c r="Q17" s="10">
        <f>IF(NOT(ISNUMBER('阶段汇总'!$B$3)),"待校准",61440*1048576/('阶段汇总'!$B$3*1000000000000)*1000)</f>
        <v>0.6442450944</v>
      </c>
      <c r="R17" s="10">
        <f>IF(NOT(ISNUMBER('阶段汇总'!$B$3)),"待校准",3264*1048576/('阶段汇总'!$B$3*1000000000000)*1000)</f>
        <v>0.03422552064</v>
      </c>
      <c r="S17" s="10">
        <f>IF(NOT(ISNUMBER('阶段汇总'!$B$3)),"待校准",15360*1048576/('阶段汇总'!$B$3*1000000000000)*1000)</f>
        <v>0.1610612736</v>
      </c>
      <c r="T17" s="10">
        <f>IF(NOT(ISNUMBER('阶段汇总'!$B$3)),"待校准",92160*1048576/('阶段汇总'!$B$3*1000000000000)*1000)</f>
        <v>0.9663676416</v>
      </c>
      <c r="U17" s="10">
        <f>IF(NOT(ISNUMBER('阶段汇总'!$B$3)),"待校准",46080*1048576/('阶段汇总'!$B$3*1000000000000)*1000)</f>
        <v>0.4831838208</v>
      </c>
      <c r="V17" s="10" t="inlineStr">
        <is>
          <t xml:space="preserve">N/A</t>
        </is>
      </c>
      <c r="W17" s="10">
        <f>IF(NOT(ISNUMBER('阶段汇总'!$B$3)),"待校准",46080*1048576/('阶段汇总'!$B$3*1000000000000)*1000)</f>
        <v>0.4831838208</v>
      </c>
      <c r="X17" s="10">
        <f>IF(NOT(ISNUMBER('阶段汇总'!$B$3)),"待校准",23040*1048576/('阶段汇总'!$B$3*1000000000000)*1000)</f>
        <v>0.2415919104</v>
      </c>
      <c r="Y17" s="10">
        <f>IF(NOT(ISNUMBER('阶段汇总'!$B$3)),"待校准",30720*1048576/('阶段汇总'!$B$3*1000000000000)*1000)</f>
        <v>0.3221225472</v>
      </c>
      <c r="Z17" s="10">
        <f>IF(NOT(ISNUMBER('阶段汇总'!$B$3)),"待校准",5100*1048576/('阶段汇总'!$B$3*1000000000000)*1000)</f>
        <v>0.053477376</v>
      </c>
      <c r="AA17" s="10">
        <f>IF(NOT(ISNUMBER('阶段汇总'!$B$3)),"待校准",7680*1048576/('阶段汇总'!$B$3*1000000000000)*1000)</f>
        <v>0.0805306368</v>
      </c>
      <c r="AB17" s="10">
        <f>IF(NOT(ISNUMBER('阶段汇总'!$B$3)),"待校准",15360*1048576/('阶段汇总'!$B$3*1000000000000)*1000)</f>
        <v>0.1610612736</v>
      </c>
      <c r="AC17" s="10">
        <f>IF(NOT(ISNUMBER('阶段汇总'!$B$3)),"待校准",7680*1048576/('阶段汇总'!$B$3*1000000000000)*1000)</f>
        <v>0.0805306368</v>
      </c>
      <c r="AD17" s="10">
        <f>IF(NOT(ISNUMBER('阶段汇总'!$B$3)),"待校准",1241637*1048576/('阶段汇总'!$B$3*1000000000000)*1000)</f>
        <v>13.0195075891</v>
      </c>
    </row>
    <row r="18" ht="22" customHeight="1">
      <c r="A18" s="5" t="inlineStr">
        <is>
          <t xml:space="preserve">memory floor</t>
        </is>
      </c>
      <c r="B18" s="6" t="inlineStr">
        <is>
          <t xml:space="preserve">ms；BW=阶段汇总!B4（十进制 GB/s）</t>
        </is>
      </c>
      <c r="C18" s="10">
        <f>IF(NOT(ISNUMBER('阶段汇总'!$B$4)),"待校准",9*1048576/('阶段汇总'!$B$4*1000000000)*1000)</f>
        <v>0.0674084571429</v>
      </c>
      <c r="D18" s="10">
        <f>IF(NOT(ISNUMBER('阶段汇总'!$B$4)),"待校准",432*1048576/('阶段汇总'!$B$4*1000000000)*1000)</f>
        <v>3.23560594286</v>
      </c>
      <c r="E18" s="10" t="inlineStr">
        <is>
          <t xml:space="preserve">N/A</t>
        </is>
      </c>
      <c r="F18" s="10">
        <f>IF(NOT(ISNUMBER('阶段汇总'!$B$4)),"待校准",144*1048576/('阶段汇总'!$B$4*1000000000)*1000)</f>
        <v>1.07853531429</v>
      </c>
      <c r="G18" s="10">
        <f>IF(NOT(ISNUMBER('阶段汇总'!$B$4)),"待校准",576*1048576/('阶段汇总'!$B$4*1000000000)*1000)</f>
        <v>4.31414125714</v>
      </c>
      <c r="H18" s="10">
        <f>IF(NOT(ISNUMBER('阶段汇总'!$B$4)),"待校准",576*1048576/('阶段汇总'!$B$4*1000000000)*1000)</f>
        <v>4.31414125714</v>
      </c>
      <c r="I18" s="10">
        <f>IF(NOT(ISNUMBER('阶段汇总'!$B$4)),"待校准",96*1048576/('阶段汇总'!$B$4*1000000000)*1000)</f>
        <v>0.719023542857</v>
      </c>
      <c r="J18" s="10">
        <f>IF(NOT(ISNUMBER('阶段汇总'!$B$4)),"待校准",48*1048576/('阶段汇总'!$B$4*1000000000)*1000)</f>
        <v>0.359511771429</v>
      </c>
      <c r="K18" s="10">
        <f>IF(NOT(ISNUMBER('阶段汇总'!$B$4)),"待校准",1782*1048576/('阶段汇总'!$B$4*1000000000)*1000)</f>
        <v>13.3468745143</v>
      </c>
      <c r="L18" s="10">
        <f>IF(NOT(ISNUMBER('阶段汇总'!$B$4)),"待校准",2.53125*1048576/('阶段汇总'!$B$4*1000000000)*1000)</f>
        <v>0.0189586285714</v>
      </c>
      <c r="M18" s="10" t="inlineStr">
        <is>
          <t xml:space="preserve">N/A</t>
        </is>
      </c>
      <c r="N18" s="10">
        <f>IF(NOT(ISNUMBER('阶段汇总'!$B$4)),"待校准",432*1048576/('阶段汇总'!$B$4*1000000000)*1000)</f>
        <v>3.23560594286</v>
      </c>
      <c r="O18" s="10">
        <f>IF(NOT(ISNUMBER('阶段汇总'!$B$4)),"待校准",2592*1048576/('阶段汇总'!$B$4*1000000000)*1000)</f>
        <v>19.4136356571</v>
      </c>
      <c r="P18" s="10">
        <f>IF(NOT(ISNUMBER('阶段汇总'!$B$4)),"待校准",1296*1048576/('阶段汇总'!$B$4*1000000000)*1000)</f>
        <v>9.70681782857</v>
      </c>
      <c r="Q18" s="10">
        <f>IF(NOT(ISNUMBER('阶段汇总'!$B$4)),"待校准",576*1048576/('阶段汇总'!$B$4*1000000000)*1000)</f>
        <v>4.31414125714</v>
      </c>
      <c r="R18" s="10" t="inlineStr">
        <is>
          <t xml:space="preserve">N/A</t>
        </is>
      </c>
      <c r="S18" s="10">
        <f>IF(NOT(ISNUMBER('阶段汇总'!$B$4)),"待校准",144*1048576/('阶段汇总'!$B$4*1000000000)*1000)</f>
        <v>1.07853531429</v>
      </c>
      <c r="T18" s="10">
        <f>IF(NOT(ISNUMBER('阶段汇总'!$B$4)),"待校准",864*1048576/('阶段汇总'!$B$4*1000000000)*1000)</f>
        <v>6.47121188571</v>
      </c>
      <c r="U18" s="10">
        <f>IF(NOT(ISNUMBER('阶段汇总'!$B$4)),"待校准",432*1048576/('阶段汇总'!$B$4*1000000000)*1000)</f>
        <v>3.23560594286</v>
      </c>
      <c r="V18" s="10" t="inlineStr">
        <is>
          <t xml:space="preserve">N/A</t>
        </is>
      </c>
      <c r="W18" s="10">
        <f>IF(NOT(ISNUMBER('阶段汇总'!$B$4)),"待校准",1440*1048576/('阶段汇总'!$B$4*1000000000)*1000)</f>
        <v>10.7853531429</v>
      </c>
      <c r="X18" s="10">
        <f>IF(NOT(ISNUMBER('阶段汇总'!$B$4)),"待校准",720*1048576/('阶段汇总'!$B$4*1000000000)*1000)</f>
        <v>5.39267657143</v>
      </c>
      <c r="Y18" s="10">
        <f>IF(NOT(ISNUMBER('阶段汇总'!$B$4)),"待校准",960*1048576/('阶段汇总'!$B$4*1000000000)*1000)</f>
        <v>7.19023542857</v>
      </c>
      <c r="Z18" s="10" t="inlineStr">
        <is>
          <t xml:space="preserve">N/A</t>
        </is>
      </c>
      <c r="AA18" s="10">
        <f>IF(NOT(ISNUMBER('阶段汇总'!$B$4)),"待校准",240*1048576/('阶段汇总'!$B$4*1000000000)*1000)</f>
        <v>1.79755885714</v>
      </c>
      <c r="AB18" s="10">
        <f>IF(NOT(ISNUMBER('阶段汇总'!$B$4)),"待校准",480*1048576/('阶段汇总'!$B$4*1000000000)*1000)</f>
        <v>3.59511771429</v>
      </c>
      <c r="AC18" s="10">
        <f>IF(NOT(ISNUMBER('阶段汇总'!$B$4)),"待校准",240*1048576/('阶段汇总'!$B$4*1000000000)*1000)</f>
        <v>1.79755885714</v>
      </c>
      <c r="AD18" s="10">
        <f>IF(NOT(ISNUMBER('阶段汇总'!$B$4)),"待校准",14081.53125*1048576/('阶段汇总'!$B$4*1000000000)*1000)</f>
        <v>105.468255086</v>
      </c>
    </row>
    <row r="19" ht="22" customHeight="1">
      <c r="A19" s="5" t="inlineStr">
        <is>
          <t xml:space="preserve">roofline</t>
        </is>
      </c>
      <c r="B19" s="6" t="inlineStr">
        <is>
          <t xml:space="preserve">max(compute,memory,launch)；理想化下限</t>
        </is>
      </c>
      <c r="C19" s="10">
        <f>IF(OR(NOT(ISNUMBER('阶段汇总'!$B$3)),NOT(ISNUMBER('阶段汇总'!$B$4)),NOT(ISNUMBER('阶段汇总'!$B$5))),"待校准",MAX(1176*1048576/('阶段汇总'!$B$3*1000000000000)*1000,9*1048576/('阶段汇总'!$B$4*1000000000)*1000,'阶段汇总'!$B$5))</f>
        <v>0.0674084571429</v>
      </c>
      <c r="D19" s="10">
        <f>IF(OR(NOT(ISNUMBER('阶段汇总'!$B$3)),NOT(ISNUMBER('阶段汇总'!$B$4)),NOT(ISNUMBER('阶段汇总'!$B$5))),"待校准",MAX(56448*1048576/('阶段汇总'!$B$3*1000000000000)*1000,432*1048576/('阶段汇总'!$B$4*1000000000)*1000,'阶段汇总'!$B$5))</f>
        <v>3.23560594286</v>
      </c>
      <c r="E19" s="10">
        <f>IF(OR(NOT(ISNUMBER('阶段汇总'!$B$3)),NOT(ISNUMBER('阶段汇总'!$B$4)),NOT(ISNUMBER('阶段汇总'!$B$5))),"待校准",MAX(4851*1048576/('阶段汇总'!$B$3*1000000000000)*1000,'阶段汇总'!$B$5))</f>
        <v>0.05086642176</v>
      </c>
      <c r="F19" s="10">
        <f>IF(OR(NOT(ISNUMBER('阶段汇总'!$B$3)),NOT(ISNUMBER('阶段汇总'!$B$4)),NOT(ISNUMBER('阶段汇总'!$B$5))),"待校准",MAX(18816*1048576/('阶段汇总'!$B$3*1000000000000)*1000,144*1048576/('阶段汇总'!$B$4*1000000000)*1000,'阶段汇总'!$B$5))</f>
        <v>1.07853531429</v>
      </c>
      <c r="G19" s="10">
        <f>IF(OR(NOT(ISNUMBER('阶段汇总'!$B$3)),NOT(ISNUMBER('阶段汇总'!$B$4)),NOT(ISNUMBER('阶段汇总'!$B$5))),"待校准",MAX(75264*1048576/('阶段汇总'!$B$3*1000000000000)*1000,576*1048576/('阶段汇总'!$B$4*1000000000)*1000,'阶段汇总'!$B$5))</f>
        <v>4.31414125714</v>
      </c>
      <c r="H19" s="10">
        <f>IF(OR(NOT(ISNUMBER('阶段汇总'!$B$3)),NOT(ISNUMBER('阶段汇总'!$B$4)),NOT(ISNUMBER('阶段汇总'!$B$5))),"待校准",MAX(75264*1048576/('阶段汇总'!$B$3*1000000000000)*1000,576*1048576/('阶段汇总'!$B$4*1000000000)*1000,'阶段汇总'!$B$5))</f>
        <v>4.31414125714</v>
      </c>
      <c r="I19" s="10">
        <f>IF(OR(NOT(ISNUMBER('阶段汇总'!$B$3)),NOT(ISNUMBER('阶段汇总'!$B$4)),NOT(ISNUMBER('阶段汇总'!$B$5))),"待校准",MAX(3136*1048576/('阶段汇总'!$B$3*1000000000000)*1000,96*1048576/('阶段汇总'!$B$4*1000000000)*1000,'阶段汇总'!$B$5))</f>
        <v>0.719023542857</v>
      </c>
      <c r="J19" s="10">
        <f>IF(OR(NOT(ISNUMBER('阶段汇总'!$B$3)),NOT(ISNUMBER('阶段汇总'!$B$4)),NOT(ISNUMBER('阶段汇总'!$B$5))),"待校准",MAX(1568*1048576/('阶段汇总'!$B$3*1000000000000)*1000,48*1048576/('阶段汇总'!$B$4*1000000000)*1000,'阶段汇总'!$B$5))</f>
        <v>0.359511771429</v>
      </c>
      <c r="K19" s="10">
        <f>IF(OR(NOT(ISNUMBER('阶段汇总'!$B$3)),NOT(ISNUMBER('阶段汇总'!$B$4)),NOT(ISNUMBER('阶段汇总'!$B$5))),"待校准",MAX(190080*1048576/('阶段汇总'!$B$3*1000000000000)*1000,1782*1048576/('阶段汇总'!$B$4*1000000000)*1000,'阶段汇总'!$B$5))</f>
        <v>13.3468745143</v>
      </c>
      <c r="L19" s="10">
        <f>IF(OR(NOT(ISNUMBER('阶段汇总'!$B$3)),NOT(ISNUMBER('阶段汇总'!$B$4)),NOT(ISNUMBER('阶段汇总'!$B$5))),"待校准",MAX(270*1048576/('阶段汇总'!$B$3*1000000000000)*1000,2.53125*1048576/('阶段汇总'!$B$4*1000000000)*1000,'阶段汇总'!$B$5))</f>
        <v>0.0189586285714</v>
      </c>
      <c r="M19" s="10" t="inlineStr">
        <is>
          <t xml:space="preserve">N/A</t>
        </is>
      </c>
      <c r="N19" s="10">
        <f>IF(OR(NOT(ISNUMBER('阶段汇总'!$B$3)),NOT(ISNUMBER('阶段汇总'!$B$4)),NOT(ISNUMBER('阶段汇总'!$B$5))),"待校准",MAX(46080*1048576/('阶段汇总'!$B$3*1000000000000)*1000,432*1048576/('阶段汇总'!$B$4*1000000000)*1000,'阶段汇总'!$B$5))</f>
        <v>3.23560594286</v>
      </c>
      <c r="O19" s="10">
        <f>IF(OR(NOT(ISNUMBER('阶段汇总'!$B$3)),NOT(ISNUMBER('阶段汇总'!$B$4)),NOT(ISNUMBER('阶段汇总'!$B$5))),"待校准",MAX(276480*1048576/('阶段汇总'!$B$3*1000000000000)*1000,2592*1048576/('阶段汇总'!$B$4*1000000000)*1000,'阶段汇总'!$B$5))</f>
        <v>19.4136356571</v>
      </c>
      <c r="P19" s="10">
        <f>IF(OR(NOT(ISNUMBER('阶段汇总'!$B$3)),NOT(ISNUMBER('阶段汇总'!$B$4)),NOT(ISNUMBER('阶段汇总'!$B$5))),"待校准",MAX(138240*1048576/('阶段汇总'!$B$3*1000000000000)*1000,1296*1048576/('阶段汇总'!$B$4*1000000000)*1000,'阶段汇总'!$B$5))</f>
        <v>9.70681782857</v>
      </c>
      <c r="Q19" s="10">
        <f>IF(OR(NOT(ISNUMBER('阶段汇总'!$B$3)),NOT(ISNUMBER('阶段汇总'!$B$4)),NOT(ISNUMBER('阶段汇总'!$B$5))),"待校准",MAX(61440*1048576/('阶段汇总'!$B$3*1000000000000)*1000,576*1048576/('阶段汇总'!$B$4*1000000000)*1000,'阶段汇总'!$B$5))</f>
        <v>4.31414125714</v>
      </c>
      <c r="R19" s="10">
        <f>IF(OR(NOT(ISNUMBER('阶段汇总'!$B$3)),NOT(ISNUMBER('阶段汇总'!$B$4)),NOT(ISNUMBER('阶段汇总'!$B$5))),"待校准",MAX(3264*1048576/('阶段汇总'!$B$3*1000000000000)*1000,'阶段汇总'!$B$5))</f>
        <v>0.03422552064</v>
      </c>
      <c r="S19" s="10">
        <f>IF(OR(NOT(ISNUMBER('阶段汇总'!$B$3)),NOT(ISNUMBER('阶段汇总'!$B$4)),NOT(ISNUMBER('阶段汇总'!$B$5))),"待校准",MAX(15360*1048576/('阶段汇总'!$B$3*1000000000000)*1000,144*1048576/('阶段汇总'!$B$4*1000000000)*1000,'阶段汇总'!$B$5))</f>
        <v>1.07853531429</v>
      </c>
      <c r="T19" s="10">
        <f>IF(OR(NOT(ISNUMBER('阶段汇总'!$B$3)),NOT(ISNUMBER('阶段汇总'!$B$4)),NOT(ISNUMBER('阶段汇总'!$B$5))),"待校准",MAX(92160*1048576/('阶段汇总'!$B$3*1000000000000)*1000,864*1048576/('阶段汇总'!$B$4*1000000000)*1000,'阶段汇总'!$B$5))</f>
        <v>6.47121188571</v>
      </c>
      <c r="U19" s="10">
        <f>IF(OR(NOT(ISNUMBER('阶段汇总'!$B$3)),NOT(ISNUMBER('阶段汇总'!$B$4)),NOT(ISNUMBER('阶段汇总'!$B$5))),"待校准",MAX(46080*1048576/('阶段汇总'!$B$3*1000000000000)*1000,432*1048576/('阶段汇总'!$B$4*1000000000)*1000,'阶段汇总'!$B$5))</f>
        <v>3.23560594286</v>
      </c>
      <c r="V19" s="10" t="inlineStr">
        <is>
          <t xml:space="preserve">N/A</t>
        </is>
      </c>
      <c r="W19" s="10">
        <f>IF(OR(NOT(ISNUMBER('阶段汇总'!$B$3)),NOT(ISNUMBER('阶段汇总'!$B$4)),NOT(ISNUMBER('阶段汇总'!$B$5))),"待校准",MAX(46080*1048576/('阶段汇总'!$B$3*1000000000000)*1000,1440*1048576/('阶段汇总'!$B$4*1000000000)*1000,'阶段汇总'!$B$5))</f>
        <v>10.7853531429</v>
      </c>
      <c r="X19" s="10">
        <f>IF(OR(NOT(ISNUMBER('阶段汇总'!$B$3)),NOT(ISNUMBER('阶段汇总'!$B$4)),NOT(ISNUMBER('阶段汇总'!$B$5))),"待校准",MAX(23040*1048576/('阶段汇总'!$B$3*1000000000000)*1000,720*1048576/('阶段汇总'!$B$4*1000000000)*1000,'阶段汇总'!$B$5))</f>
        <v>5.39267657143</v>
      </c>
      <c r="Y19" s="10">
        <f>IF(OR(NOT(ISNUMBER('阶段汇总'!$B$3)),NOT(ISNUMBER('阶段汇总'!$B$4)),NOT(ISNUMBER('阶段汇总'!$B$5))),"待校准",MAX(30720*1048576/('阶段汇总'!$B$3*1000000000000)*1000,960*1048576/('阶段汇总'!$B$4*1000000000)*1000,'阶段汇总'!$B$5))</f>
        <v>7.19023542857</v>
      </c>
      <c r="Z19" s="10">
        <f>IF(OR(NOT(ISNUMBER('阶段汇总'!$B$3)),NOT(ISNUMBER('阶段汇总'!$B$4)),NOT(ISNUMBER('阶段汇总'!$B$5))),"待校准",MAX(5100*1048576/('阶段汇总'!$B$3*1000000000000)*1000,'阶段汇总'!$B$5))</f>
        <v>0.053477376</v>
      </c>
      <c r="AA19" s="10">
        <f>IF(OR(NOT(ISNUMBER('阶段汇总'!$B$3)),NOT(ISNUMBER('阶段汇总'!$B$4)),NOT(ISNUMBER('阶段汇总'!$B$5))),"待校准",MAX(7680*1048576/('阶段汇总'!$B$3*1000000000000)*1000,240*1048576/('阶段汇总'!$B$4*1000000000)*1000,'阶段汇总'!$B$5))</f>
        <v>1.79755885714</v>
      </c>
      <c r="AB19" s="10">
        <f>IF(OR(NOT(ISNUMBER('阶段汇总'!$B$3)),NOT(ISNUMBER('阶段汇总'!$B$4)),NOT(ISNUMBER('阶段汇总'!$B$5))),"待校准",MAX(15360*1048576/('阶段汇总'!$B$3*1000000000000)*1000,480*1048576/('阶段汇总'!$B$4*1000000000)*1000,'阶段汇总'!$B$5))</f>
        <v>3.59511771429</v>
      </c>
      <c r="AC19" s="10">
        <f>IF(OR(NOT(ISNUMBER('阶段汇总'!$B$3)),NOT(ISNUMBER('阶段汇总'!$B$4)),NOT(ISNUMBER('阶段汇总'!$B$5))),"待校准",MAX(7680*1048576/('阶段汇总'!$B$3*1000000000000)*1000,240*1048576/('阶段汇总'!$B$4*1000000000)*1000,'阶段汇总'!$B$5))</f>
        <v>1.79755885714</v>
      </c>
      <c r="AD19" s="10">
        <f>IF(OR(NOT(ISNUMBER('阶段汇总'!$B$3)),NOT(ISNUMBER('阶段汇总'!$B$4)),NOT(ISNUMBER('阶段汇总'!$B$5))),"待校准",MAX(1241637*1048576/('阶段汇总'!$B$3*1000000000000)*1000,14081.53125*1048576/('阶段汇总'!$B$4*1000000000)*1000,'阶段汇总'!$B$5))</f>
        <v>105.468255086</v>
      </c>
    </row>
    <row r="20" ht="30" customHeight="1">
      <c r="A20" s="5" t="inlineStr">
        <is>
          <t xml:space="preserve">备注</t>
        </is>
      </c>
      <c r="B20" s="6" t="inlineStr">
        <is>
          <t xml:space="preserve">实现/证据说明</t>
        </is>
      </c>
      <c r="C20" s="7" t="inlineStr">
        <is>
          <t xml:space="preserve">Conv3d folded to Linear; in-graph STEP0</t>
        </is>
      </c>
      <c r="D20" s="7" t="inlineStr">
        <is>
          <t xml:space="preserve">three independent Q/K/V col-sharded GEMMs</t>
        </is>
      </c>
      <c r="E20" s="7" t="inlineStr">
        <is>
          <t xml:space="preserve">QK+PV arithmetic; segmented per image</t>
        </is>
      </c>
      <c r="F20" s="7" t="inlineStr">
        <is>
          <t xml:space="preserve">row-sharded + reduce</t>
        </is>
      </c>
      <c r="G20" s="7" t="inlineStr">
        <is>
          <t xml:space="preserve">GELU MLP fc1</t>
        </is>
      </c>
      <c r="H20" s="7" t="inlineStr">
        <is>
          <t xml:space="preserve">MLP fc2 + reduce</t>
        </is>
      </c>
      <c r="I20" s="7" t="inlineStr">
        <is>
          <t xml:space="preserve">2×2 spatial merge; aggregate M=98</t>
        </is>
      </c>
      <c r="J20" s="7" t="inlineStr">
        <is>
          <t xml:space="preserve">merged output enters text hidden=2048</t>
        </is>
      </c>
      <c r="K20" s="7" t="inlineStr">
        <is>
          <t xml:space="preserve">physical b/a N_bg=128; logical table width=8224</t>
        </is>
      </c>
      <c r="L20" s="7" t="inlineStr">
        <is>
          <t xml:space="preserve">FP16 conv weights; separate non-GEMM kernel</t>
        </is>
      </c>
      <c r="M20" s="7" t="inlineStr">
        <is>
          <t xml:space="preserve">per-core critical-path proxy; chip aggregate is approximately ×8; not in strict FLOP total</t>
        </is>
      </c>
      <c r="N20" s="7" t="inlineStr">
        <is>
          <t xml:space="preserve">row-sharded + all-reduce</t>
        </is>
      </c>
      <c r="O20" s="7" t="inlineStr">
        <is>
          <t xml:space="preserve">SwiGLU gate/up pair</t>
        </is>
      </c>
      <c r="P20" s="7" t="inlineStr">
        <is>
          <t xml:space="preserve">MLP down + all-reduce</t>
        </is>
      </c>
      <c r="Q20" s="7" t="inlineStr">
        <is>
          <t xml:space="preserve">physical effective KV heads=8</t>
        </is>
      </c>
      <c r="R20" s="7" t="inlineStr">
        <is>
          <t xml:space="preserve">rectangular QK+PV upper arithmetic; causal mask not discounted</t>
        </is>
      </c>
      <c r="S20" s="7" t="inlineStr">
        <is>
          <t xml:space="preserve">row-sharded + all-reduce</t>
        </is>
      </c>
      <c r="T20" s="7" t="inlineStr">
        <is>
          <t xml:space="preserve">SwiGLU gate/up pair</t>
        </is>
      </c>
      <c r="U20" s="7" t="inlineStr">
        <is>
          <t xml:space="preserve">MLP down + all-reduce</t>
        </is>
      </c>
      <c r="V20" s="7" t="inlineStr">
        <is>
          <t xml:space="preserve">identity mixer: no linear-attention/GDN GEMM</t>
        </is>
      </c>
      <c r="W20" s="7" t="inlineStr">
        <is>
          <t xml:space="preserve">ACC32 tiled FP16 linear</t>
        </is>
      </c>
      <c r="X20" s="7" t="inlineStr">
        <is>
          <t xml:space="preserve">ACC32 tiled FP16 linear</t>
        </is>
      </c>
      <c r="Y20" s="7" t="inlineStr">
        <is>
          <t xml:space="preserve">physical q/gate/k/v each N=2048</t>
        </is>
      </c>
      <c r="Z20" s="7" t="inlineStr">
        <is>
          <t xml:space="preserve">prefix length is semantic; bucket only fixes graph shape</t>
        </is>
      </c>
      <c r="AA20" s="7" t="inlineStr">
        <is>
          <t xml:space="preserve">row-sharded</t>
        </is>
      </c>
      <c r="AB20" s="7" t="inlineStr">
        <is>
          <t xml:space="preserve">SwiGLU gate/up pair</t>
        </is>
      </c>
      <c r="AC20" s="7" t="inlineStr">
        <is>
          <t xml:space="preserve">MLP down</t>
        </is>
      </c>
      <c r="AD20" s="7" t="inlineStr">
        <is>
          <t xml:space="preserve">不含激活/KV/host/launch；见‘口径与证据’。</t>
        </is>
      </c>
    </row>
    <row r="21" ht="22" customHeight="1">
      <c r="A21" s="5" t="inlineStr">
        <is>
          <t xml:space="preserve">bound type</t>
        </is>
      </c>
      <c r="B21" s="6" t="inlineStr">
        <is>
          <t xml:space="preserve">按阶段汇总 B3/B4/B5 的 roofline；仅表示 modeled floor</t>
        </is>
      </c>
      <c r="C21" s="10" t="str">
        <f>IF(OR(NOT(ISNUMBER('阶段汇总'!$B$3)),NOT(ISNUMBER('阶段汇总'!$B$4)),NOT(ISNUMBER('阶段汇总'!$B$5))),"待校准",IF('阶段汇总'!$B$5&gt;=MAX(IF(ISNUMBER(C17),C17,0),IF(ISNUMBER(C18),C18,0)),"launch",IF(IF(ISNUMBER(C17),C17,0)&gt;=IF(ISNUMBER(C18),C18,0),"compute","memory")))</f>
        <v>memory</v>
      </c>
      <c r="D21" s="10" t="str">
        <f>IF(OR(NOT(ISNUMBER('阶段汇总'!$B$3)),NOT(ISNUMBER('阶段汇总'!$B$4)),NOT(ISNUMBER('阶段汇总'!$B$5))),"待校准",IF('阶段汇总'!$B$5&gt;=MAX(IF(ISNUMBER(D17),D17,0),IF(ISNUMBER(D18),D18,0)),"launch",IF(IF(ISNUMBER(D17),D17,0)&gt;=IF(ISNUMBER(D18),D18,0),"compute","memory")))</f>
        <v>memory</v>
      </c>
      <c r="E21" s="10" t="str">
        <f>IF(OR(NOT(ISNUMBER('阶段汇总'!$B$3)),NOT(ISNUMBER('阶段汇总'!$B$4)),NOT(ISNUMBER('阶段汇总'!$B$5))),"待校准",IF('阶段汇总'!$B$5&gt;=MAX(IF(ISNUMBER(E17),E17,0),IF(ISNUMBER(E18),E18,0)),"launch",IF(IF(ISNUMBER(E17),E17,0)&gt;=IF(ISNUMBER(E18),E18,0),"compute","memory")))</f>
        <v>compute</v>
      </c>
      <c r="F21" s="10" t="str">
        <f>IF(OR(NOT(ISNUMBER('阶段汇总'!$B$3)),NOT(ISNUMBER('阶段汇总'!$B$4)),NOT(ISNUMBER('阶段汇总'!$B$5))),"待校准",IF('阶段汇总'!$B$5&gt;=MAX(IF(ISNUMBER(F17),F17,0),IF(ISNUMBER(F18),F18,0)),"launch",IF(IF(ISNUMBER(F17),F17,0)&gt;=IF(ISNUMBER(F18),F18,0),"compute","memory")))</f>
        <v>memory</v>
      </c>
      <c r="G21" s="10" t="str">
        <f>IF(OR(NOT(ISNUMBER('阶段汇总'!$B$3)),NOT(ISNUMBER('阶段汇总'!$B$4)),NOT(ISNUMBER('阶段汇总'!$B$5))),"待校准",IF('阶段汇总'!$B$5&gt;=MAX(IF(ISNUMBER(G17),G17,0),IF(ISNUMBER(G18),G18,0)),"launch",IF(IF(ISNUMBER(G17),G17,0)&gt;=IF(ISNUMBER(G18),G18,0),"compute","memory")))</f>
        <v>memory</v>
      </c>
      <c r="H21" s="10" t="str">
        <f>IF(OR(NOT(ISNUMBER('阶段汇总'!$B$3)),NOT(ISNUMBER('阶段汇总'!$B$4)),NOT(ISNUMBER('阶段汇总'!$B$5))),"待校准",IF('阶段汇总'!$B$5&gt;=MAX(IF(ISNUMBER(H17),H17,0),IF(ISNUMBER(H18),H18,0)),"launch",IF(IF(ISNUMBER(H17),H17,0)&gt;=IF(ISNUMBER(H18),H18,0),"compute","memory")))</f>
        <v>memory</v>
      </c>
      <c r="I21" s="10" t="str">
        <f>IF(OR(NOT(ISNUMBER('阶段汇总'!$B$3)),NOT(ISNUMBER('阶段汇总'!$B$4)),NOT(ISNUMBER('阶段汇总'!$B$5))),"待校准",IF('阶段汇总'!$B$5&gt;=MAX(IF(ISNUMBER(I17),I17,0),IF(ISNUMBER(I18),I18,0)),"launch",IF(IF(ISNUMBER(I17),I17,0)&gt;=IF(ISNUMBER(I18),I18,0),"compute","memory")))</f>
        <v>memory</v>
      </c>
      <c r="J21" s="10" t="str">
        <f>IF(OR(NOT(ISNUMBER('阶段汇总'!$B$3)),NOT(ISNUMBER('阶段汇总'!$B$4)),NOT(ISNUMBER('阶段汇总'!$B$5))),"待校准",IF('阶段汇总'!$B$5&gt;=MAX(IF(ISNUMBER(J17),J17,0),IF(ISNUMBER(J18),J18,0)),"launch",IF(IF(ISNUMBER(J17),J17,0)&gt;=IF(ISNUMBER(J18),J18,0),"compute","memory")))</f>
        <v>memory</v>
      </c>
      <c r="K21" s="10" t="str">
        <f>IF(OR(NOT(ISNUMBER('阶段汇总'!$B$3)),NOT(ISNUMBER('阶段汇总'!$B$4)),NOT(ISNUMBER('阶段汇总'!$B$5))),"待校准",IF('阶段汇总'!$B$5&gt;=MAX(IF(ISNUMBER(K17),K17,0),IF(ISNUMBER(K18),K18,0)),"launch",IF(IF(ISNUMBER(K17),K17,0)&gt;=IF(ISNUMBER(K18),K18,0),"compute","memory")))</f>
        <v>memory</v>
      </c>
      <c r="L21" s="10" t="str">
        <f>IF(OR(NOT(ISNUMBER('阶段汇总'!$B$3)),NOT(ISNUMBER('阶段汇总'!$B$4)),NOT(ISNUMBER('阶段汇总'!$B$5))),"待校准",IF('阶段汇总'!$B$5&gt;=MAX(IF(ISNUMBER(L17),L17,0),IF(ISNUMBER(L18),L18,0)),"launch",IF(IF(ISNUMBER(L17),L17,0)&gt;=IF(ISNUMBER(L18),L18,0),"compute","memory")))</f>
        <v>memory</v>
      </c>
      <c r="M21" s="10" t="inlineStr">
        <is>
          <t xml:space="preserve">N/A</t>
        </is>
      </c>
      <c r="N21" s="10" t="str">
        <f>IF(OR(NOT(ISNUMBER('阶段汇总'!$B$3)),NOT(ISNUMBER('阶段汇总'!$B$4)),NOT(ISNUMBER('阶段汇总'!$B$5))),"待校准",IF('阶段汇总'!$B$5&gt;=MAX(IF(ISNUMBER(N17),N17,0),IF(ISNUMBER(N18),N18,0)),"launch",IF(IF(ISNUMBER(N17),N17,0)&gt;=IF(ISNUMBER(N18),N18,0),"compute","memory")))</f>
        <v>memory</v>
      </c>
      <c r="O21" s="10" t="str">
        <f>IF(OR(NOT(ISNUMBER('阶段汇总'!$B$3)),NOT(ISNUMBER('阶段汇总'!$B$4)),NOT(ISNUMBER('阶段汇总'!$B$5))),"待校准",IF('阶段汇总'!$B$5&gt;=MAX(IF(ISNUMBER(O17),O17,0),IF(ISNUMBER(O18),O18,0)),"launch",IF(IF(ISNUMBER(O17),O17,0)&gt;=IF(ISNUMBER(O18),O18,0),"compute","memory")))</f>
        <v>memory</v>
      </c>
      <c r="P21" s="10" t="str">
        <f>IF(OR(NOT(ISNUMBER('阶段汇总'!$B$3)),NOT(ISNUMBER('阶段汇总'!$B$4)),NOT(ISNUMBER('阶段汇总'!$B$5))),"待校准",IF('阶段汇总'!$B$5&gt;=MAX(IF(ISNUMBER(P17),P17,0),IF(ISNUMBER(P18),P18,0)),"launch",IF(IF(ISNUMBER(P17),P17,0)&gt;=IF(ISNUMBER(P18),P18,0),"compute","memory")))</f>
        <v>memory</v>
      </c>
      <c r="Q21" s="10" t="str">
        <f>IF(OR(NOT(ISNUMBER('阶段汇总'!$B$3)),NOT(ISNUMBER('阶段汇总'!$B$4)),NOT(ISNUMBER('阶段汇总'!$B$5))),"待校准",IF('阶段汇总'!$B$5&gt;=MAX(IF(ISNUMBER(Q17),Q17,0),IF(ISNUMBER(Q18),Q18,0)),"launch",IF(IF(ISNUMBER(Q17),Q17,0)&gt;=IF(ISNUMBER(Q18),Q18,0),"compute","memory")))</f>
        <v>memory</v>
      </c>
      <c r="R21" s="10" t="str">
        <f>IF(OR(NOT(ISNUMBER('阶段汇总'!$B$3)),NOT(ISNUMBER('阶段汇总'!$B$4)),NOT(ISNUMBER('阶段汇总'!$B$5))),"待校准",IF('阶段汇总'!$B$5&gt;=MAX(IF(ISNUMBER(R17),R17,0),IF(ISNUMBER(R18),R18,0)),"launch",IF(IF(ISNUMBER(R17),R17,0)&gt;=IF(ISNUMBER(R18),R18,0),"compute","memory")))</f>
        <v>compute</v>
      </c>
      <c r="S21" s="10" t="str">
        <f>IF(OR(NOT(ISNUMBER('阶段汇总'!$B$3)),NOT(ISNUMBER('阶段汇总'!$B$4)),NOT(ISNUMBER('阶段汇总'!$B$5))),"待校准",IF('阶段汇总'!$B$5&gt;=MAX(IF(ISNUMBER(S17),S17,0),IF(ISNUMBER(S18),S18,0)),"launch",IF(IF(ISNUMBER(S17),S17,0)&gt;=IF(ISNUMBER(S18),S18,0),"compute","memory")))</f>
        <v>memory</v>
      </c>
      <c r="T21" s="10" t="str">
        <f>IF(OR(NOT(ISNUMBER('阶段汇总'!$B$3)),NOT(ISNUMBER('阶段汇总'!$B$4)),NOT(ISNUMBER('阶段汇总'!$B$5))),"待校准",IF('阶段汇总'!$B$5&gt;=MAX(IF(ISNUMBER(T17),T17,0),IF(ISNUMBER(T18),T18,0)),"launch",IF(IF(ISNUMBER(T17),T17,0)&gt;=IF(ISNUMBER(T18),T18,0),"compute","memory")))</f>
        <v>memory</v>
      </c>
      <c r="U21" s="10" t="str">
        <f>IF(OR(NOT(ISNUMBER('阶段汇总'!$B$3)),NOT(ISNUMBER('阶段汇总'!$B$4)),NOT(ISNUMBER('阶段汇总'!$B$5))),"待校准",IF('阶段汇总'!$B$5&gt;=MAX(IF(ISNUMBER(U17),U17,0),IF(ISNUMBER(U18),U18,0)),"launch",IF(IF(ISNUMBER(U17),U17,0)&gt;=IF(ISNUMBER(U18),U18,0),"compute","memory")))</f>
        <v>memory</v>
      </c>
      <c r="V21" s="10" t="inlineStr">
        <is>
          <t xml:space="preserve">N/A</t>
        </is>
      </c>
      <c r="W21" s="10" t="str">
        <f>IF(OR(NOT(ISNUMBER('阶段汇总'!$B$3)),NOT(ISNUMBER('阶段汇总'!$B$4)),NOT(ISNUMBER('阶段汇总'!$B$5))),"待校准",IF('阶段汇总'!$B$5&gt;=MAX(IF(ISNUMBER(W17),W17,0),IF(ISNUMBER(W18),W18,0)),"launch",IF(IF(ISNUMBER(W17),W17,0)&gt;=IF(ISNUMBER(W18),W18,0),"compute","memory")))</f>
        <v>memory</v>
      </c>
      <c r="X21" s="10" t="str">
        <f>IF(OR(NOT(ISNUMBER('阶段汇总'!$B$3)),NOT(ISNUMBER('阶段汇总'!$B$4)),NOT(ISNUMBER('阶段汇总'!$B$5))),"待校准",IF('阶段汇总'!$B$5&gt;=MAX(IF(ISNUMBER(X17),X17,0),IF(ISNUMBER(X18),X18,0)),"launch",IF(IF(ISNUMBER(X17),X17,0)&gt;=IF(ISNUMBER(X18),X18,0),"compute","memory")))</f>
        <v>memory</v>
      </c>
      <c r="Y21" s="10" t="str">
        <f>IF(OR(NOT(ISNUMBER('阶段汇总'!$B$3)),NOT(ISNUMBER('阶段汇总'!$B$4)),NOT(ISNUMBER('阶段汇总'!$B$5))),"待校准",IF('阶段汇总'!$B$5&gt;=MAX(IF(ISNUMBER(Y17),Y17,0),IF(ISNUMBER(Y18),Y18,0)),"launch",IF(IF(ISNUMBER(Y17),Y17,0)&gt;=IF(ISNUMBER(Y18),Y18,0),"compute","memory")))</f>
        <v>memory</v>
      </c>
      <c r="Z21" s="10" t="str">
        <f>IF(OR(NOT(ISNUMBER('阶段汇总'!$B$3)),NOT(ISNUMBER('阶段汇总'!$B$4)),NOT(ISNUMBER('阶段汇总'!$B$5))),"待校准",IF('阶段汇总'!$B$5&gt;=MAX(IF(ISNUMBER(Z17),Z17,0),IF(ISNUMBER(Z18),Z18,0)),"launch",IF(IF(ISNUMBER(Z17),Z17,0)&gt;=IF(ISNUMBER(Z18),Z18,0),"compute","memory")))</f>
        <v>compute</v>
      </c>
      <c r="AA21" s="10" t="str">
        <f>IF(OR(NOT(ISNUMBER('阶段汇总'!$B$3)),NOT(ISNUMBER('阶段汇总'!$B$4)),NOT(ISNUMBER('阶段汇总'!$B$5))),"待校准",IF('阶段汇总'!$B$5&gt;=MAX(IF(ISNUMBER(AA17),AA17,0),IF(ISNUMBER(AA18),AA18,0)),"launch",IF(IF(ISNUMBER(AA17),AA17,0)&gt;=IF(ISNUMBER(AA18),AA18,0),"compute","memory")))</f>
        <v>memory</v>
      </c>
      <c r="AB21" s="10" t="str">
        <f>IF(OR(NOT(ISNUMBER('阶段汇总'!$B$3)),NOT(ISNUMBER('阶段汇总'!$B$4)),NOT(ISNUMBER('阶段汇总'!$B$5))),"待校准",IF('阶段汇总'!$B$5&gt;=MAX(IF(ISNUMBER(AB17),AB17,0),IF(ISNUMBER(AB18),AB18,0)),"launch",IF(IF(ISNUMBER(AB17),AB17,0)&gt;=IF(ISNUMBER(AB18),AB18,0),"compute","memory")))</f>
        <v>memory</v>
      </c>
      <c r="AC21" s="10" t="str">
        <f>IF(OR(NOT(ISNUMBER('阶段汇总'!$B$3)),NOT(ISNUMBER('阶段汇总'!$B$4)),NOT(ISNUMBER('阶段汇总'!$B$5))),"待校准",IF('阶段汇总'!$B$5&gt;=MAX(IF(ISNUMBER(AC17),AC17,0),IF(ISNUMBER(AC18),AC18,0)),"launch",IF(IF(ISNUMBER(AC17),AC17,0)&gt;=IF(ISNUMBER(AC18),AC18,0),"compute","memory")))</f>
        <v>memory</v>
      </c>
      <c r="AD21" s="10" t="str">
        <f>IF(OR(NOT(ISNUMBER('阶段汇总'!$B$3)),NOT(ISNUMBER('阶段汇总'!$B$4)),NOT(ISNUMBER('阶段汇总'!$B$5))),"待校准",IF('阶段汇总'!$B$5&gt;=MAX(IF(ISNUMBER(AD17),AD17,0),IF(ISNUMBER(AD18),AD18,0)),"launch",IF(IF(ISNUMBER(AD17),AD17,0)&gt;=IF(ISNUMBER(AD18),AD18,0),"compute","memory")))</f>
        <v>memory</v>
      </c>
    </row>
  </sheetData>
  <mergeCells count="10">
    <mergeCell ref="A1:AD1"/>
    <mergeCell ref="A2:AD2"/>
    <mergeCell ref="A3:AD3"/>
    <mergeCell ref="A4:AD4"/>
    <mergeCell ref="C6:J6"/>
    <mergeCell ref="K6:P6"/>
    <mergeCell ref="Q6:U6"/>
    <mergeCell ref="V6:X6"/>
    <mergeCell ref="Y6:AC6"/>
    <mergeCell ref="AD6:AD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1"/>
  <sheetViews>
    <sheetView workbookViewId="0" showGridLines="1">
      <pane xSplit="2" ySplit="6" topLeftCell="C7" activePane="bottomRight" state="frozen"/>
    </sheetView>
  </sheetViews>
  <cols>
    <col min="1" max="1" width="18" customWidth="1"/>
    <col min="2" max="2" width="25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20" customWidth="1"/>
  </cols>
  <sheetData>
    <row r="1" ht="22" customHeight="1">
      <c r="A1" s="1" t="inlineStr">
        <is>
          <t xml:space="preserve">Wall Qwen3.5 · RPU 上限_384 · 同口径性能/上限分析</t>
        </is>
      </c>
    </row>
    <row r="2" ht="22" customHeight="1">
      <c r="A2" s="2" t="inlineStr">
        <is>
          <t xml:space="preserve">单位：Mi=2^20；FLOPs=2×M×N×K；所有模型权重按 RPU FP16 2 bytes 计。阶段汇总 B3/B4 使用可编辑的 FP16=100 TFLOP/s、DDR=140 GB/s 情景参数；B3=100 对应 100 TOPS 按 2 operations/MAC，若规格按 1 operation/MAC 则填 200。经验 pure-GEMM 板测另列在‘阶段汇总’，不直接冒充峰值。</t>
        </is>
      </c>
    </row>
    <row r="3" ht="22" customHeight="1">
      <c r="A3" s="2" t="inlineStr">
        <is>
          <t xml:space="preserve">输入：3图 grids=[1,8,14]+[1,10,14]×2（patch=392）；real prefix=384，execution bucket=384，chunks=128/128/128；action=[1,32,26]，10 Euler steps。</t>
        </is>
      </c>
    </row>
    <row r="4" ht="22" customHeight="1">
      <c r="A4" s="13" t="inlineStr">
        <is>
          <t xml:space="preserve">注意：RPU 当前 Wall profile 是 FP16；full-attention KV 由逻辑2头复制为物理8头，GDN b/a 由逻辑16列/路填充为每核16槽（物理 N=128）。</t>
        </is>
      </c>
    </row>
    <row r="5" ht="22" customHeight="1"/>
    <row r="6" ht="22" customHeight="1">
      <c r="A6" s="4" t="inlineStr">
        <is>
          <t xml:space="preserve">指标</t>
        </is>
      </c>
      <c r="B6" s="4" t="inlineStr">
        <is>
          <t xml:space="preserve">单位/说明</t>
        </is>
      </c>
      <c r="C6" s="3" t="inlineStr">
        <is>
          <t xml:space="preserve">Vision · 3 calls / 2 geometry signatures</t>
        </is>
      </c>
      <c r="K6" s="3" t="inlineStr">
        <is>
          <t xml:space="preserve">Text GDN · 18 layers</t>
        </is>
      </c>
      <c r="Q6" s="3" t="inlineStr">
        <is>
          <t xml:space="preserve">Text full · 6 layers</t>
        </is>
      </c>
      <c r="V6" s="3" t="inlineStr">
        <is>
          <t xml:space="preserve">Action identity · 18×10</t>
        </is>
      </c>
      <c r="Y6" s="3" t="inlineStr">
        <is>
          <t xml:space="preserve">Action full · 6×10</t>
        </is>
      </c>
      <c r="AD6" s="3" t="inlineStr">
        <is>
          <t xml:space="preserve">请求合计</t>
        </is>
      </c>
    </row>
    <row r="7" ht="22" customHeight="1">
      <c r="A7" s="5" t="inlineStr">
        <is>
          <t xml:space="preserve">算子</t>
        </is>
      </c>
      <c r="B7" s="6" t="inlineStr">
        <is>
          <t xml:space="preserve">—</t>
        </is>
      </c>
      <c r="C7" s="4" t="inlineStr">
        <is>
          <t xml:space="preserve">STEP0 patch_embed</t>
        </is>
      </c>
      <c r="D7" s="4" t="inlineStr">
        <is>
          <t xml:space="preserve">Block QKV</t>
        </is>
      </c>
      <c r="E7" s="4" t="inlineStr">
        <is>
          <t xml:space="preserve">FlashAttention</t>
        </is>
      </c>
      <c r="F7" s="4" t="inlineStr">
        <is>
          <t xml:space="preserve">Block O</t>
        </is>
      </c>
      <c r="G7" s="4" t="inlineStr">
        <is>
          <t xml:space="preserve">Block Up</t>
        </is>
      </c>
      <c r="H7" s="4" t="inlineStr">
        <is>
          <t xml:space="preserve">Block Down</t>
        </is>
      </c>
      <c r="I7" s="4" t="inlineStr">
        <is>
          <t xml:space="preserve">Merger FC1</t>
        </is>
      </c>
      <c r="J7" s="4" t="inlineStr">
        <is>
          <t xml:space="preserve">Merger FC2</t>
        </is>
      </c>
      <c r="K7" s="4" t="inlineStr">
        <is>
          <t xml:space="preserve">GDN projections</t>
        </is>
      </c>
      <c r="L7" s="4" t="inlineStr">
        <is>
          <t xml:space="preserve">GDN Conv1D</t>
        </is>
      </c>
      <c r="M7" s="4" t="inlineStr">
        <is>
          <t xml:space="preserve">GDN delta/BMM</t>
        </is>
      </c>
      <c r="N7" s="4" t="inlineStr">
        <is>
          <t xml:space="preserve">GDN O</t>
        </is>
      </c>
      <c r="O7" s="4" t="inlineStr">
        <is>
          <t xml:space="preserve">GDN GateUp</t>
        </is>
      </c>
      <c r="P7" s="4" t="inlineStr">
        <is>
          <t xml:space="preserve">GDN Down</t>
        </is>
      </c>
      <c r="Q7" s="4" t="inlineStr">
        <is>
          <t xml:space="preserve">Full QKV+gate</t>
        </is>
      </c>
      <c r="R7" s="4" t="inlineStr">
        <is>
          <t xml:space="preserve">Full FlashAttention</t>
        </is>
      </c>
      <c r="S7" s="4" t="inlineStr">
        <is>
          <t xml:space="preserve">Full O</t>
        </is>
      </c>
      <c r="T7" s="4" t="inlineStr">
        <is>
          <t xml:space="preserve">Full GateUp</t>
        </is>
      </c>
      <c r="U7" s="4" t="inlineStr">
        <is>
          <t xml:space="preserve">Full Down</t>
        </is>
      </c>
      <c r="V7" s="4" t="inlineStr">
        <is>
          <t xml:space="preserve">AdaLN/residual gate</t>
        </is>
      </c>
      <c r="W7" s="4" t="inlineStr">
        <is>
          <t xml:space="preserve">Identity GateUp</t>
        </is>
      </c>
      <c r="X7" s="4" t="inlineStr">
        <is>
          <t xml:space="preserve">Identity Down</t>
        </is>
      </c>
      <c r="Y7" s="4" t="inlineStr">
        <is>
          <t xml:space="preserve">Action Full QKV+gate</t>
        </is>
      </c>
      <c r="Z7" s="4" t="inlineStr">
        <is>
          <t xml:space="preserve">Action FlashAttention</t>
        </is>
      </c>
      <c r="AA7" s="4" t="inlineStr">
        <is>
          <t xml:space="preserve">Action Full O</t>
        </is>
      </c>
      <c r="AB7" s="4" t="inlineStr">
        <is>
          <t xml:space="preserve">Action Full GateUp</t>
        </is>
      </c>
      <c r="AC7" s="4" t="inlineStr">
        <is>
          <t xml:space="preserve">Action Full Down</t>
        </is>
      </c>
      <c r="AD7" s="4" t="inlineStr">
        <is>
          <t xml:space="preserve">Σ all listed ops</t>
        </is>
      </c>
    </row>
    <row r="8" ht="30" customHeight="1">
      <c r="A8" s="5" t="inlineStr">
        <is>
          <t xml:space="preserve">逻辑 shape</t>
        </is>
      </c>
      <c r="B8" s="6" t="inlineStr">
        <is>
          <t xml:space="preserve">[M,K]×[K,N]；—表示非GEMM</t>
        </is>
      </c>
      <c r="C8" s="6" t="inlineStr">
        <is>
          <t xml:space="preserve">[112/140,1536]×[1536,1024]</t>
        </is>
      </c>
      <c r="D8" s="6" t="inlineStr">
        <is>
          <t xml:space="preserve">[M,1024]×[1024,3072]</t>
        </is>
      </c>
      <c r="E8" s="6" t="inlineStr">
        <is>
          <t xml:space="preserve">[1,16,M,M,64]</t>
        </is>
      </c>
      <c r="F8" s="6" t="inlineStr">
        <is>
          <t xml:space="preserve">[M,1024]×[1024,1024]</t>
        </is>
      </c>
      <c r="G8" s="6" t="inlineStr">
        <is>
          <t xml:space="preserve">[M,1024]×[1024,4096]</t>
        </is>
      </c>
      <c r="H8" s="6" t="inlineStr">
        <is>
          <t xml:space="preserve">[M,4096]×[4096,1024]</t>
        </is>
      </c>
      <c r="I8" s="6" t="inlineStr">
        <is>
          <t xml:space="preserve">[28/35,4096]×[4096,4096]</t>
        </is>
      </c>
      <c r="J8" s="6" t="inlineStr">
        <is>
          <t xml:space="preserve">[28/35,4096]×[4096,2048]</t>
        </is>
      </c>
      <c r="K8" s="6" t="inlineStr">
        <is>
          <t xml:space="preserve">[M,2048]×[2048,8224]</t>
        </is>
      </c>
      <c r="L8" s="6" t="inlineStr">
        <is>
          <t xml:space="preserve">conv_dim=6144,k=4</t>
        </is>
      </c>
      <c r="M8" s="6" t="inlineStr">
        <is>
          <t xml:space="preserve">C=64,Hc=2,Dk=Dv=128</t>
        </is>
      </c>
      <c r="N8" s="6" t="inlineStr">
        <is>
          <t xml:space="preserve">[M,2048]×[2048,2048]</t>
        </is>
      </c>
      <c r="O8" s="6" t="inlineStr">
        <is>
          <t xml:space="preserve">[M,2048]×[2048,12288]</t>
        </is>
      </c>
      <c r="P8" s="6" t="inlineStr">
        <is>
          <t xml:space="preserve">[M,6144]×[6144,2048]</t>
        </is>
      </c>
      <c r="Q8" s="6" t="inlineStr">
        <is>
          <t xml:space="preserve">[M,2048]×[2048,5120]</t>
        </is>
      </c>
      <c r="R8" s="6" t="inlineStr">
        <is>
          <t xml:space="preserve">Q=M, KV=cumulative; H=8,D=256</t>
        </is>
      </c>
      <c r="S8" s="6" t="inlineStr">
        <is>
          <t xml:space="preserve">[M,2048]×[2048,2048]</t>
        </is>
      </c>
      <c r="T8" s="6" t="inlineStr">
        <is>
          <t xml:space="preserve">[M,2048]×[2048,12288]</t>
        </is>
      </c>
      <c r="U8" s="6" t="inlineStr">
        <is>
          <t xml:space="preserve">[M,6144]×[6144,2048]</t>
        </is>
      </c>
      <c r="V8" s="6" t="inlineStr">
        <is>
          <t xml:space="preserve">[32,1024]</t>
        </is>
      </c>
      <c r="W8" s="6" t="inlineStr">
        <is>
          <t xml:space="preserve">[32,1024]×[1024,4096]</t>
        </is>
      </c>
      <c r="X8" s="6" t="inlineStr">
        <is>
          <t xml:space="preserve">[32,2048]×[2048,1024]</t>
        </is>
      </c>
      <c r="Y8" s="6" t="inlineStr">
        <is>
          <t xml:space="preserve">[32,1024]×[1024,5120]</t>
        </is>
      </c>
      <c r="Z8" s="6" t="inlineStr">
        <is>
          <t xml:space="preserve">Q=32, KV=prefix+32; H=8,D=256</t>
        </is>
      </c>
      <c r="AA8" s="6" t="inlineStr">
        <is>
          <t xml:space="preserve">[32,2048]×[2048,1024]</t>
        </is>
      </c>
      <c r="AB8" s="6" t="inlineStr">
        <is>
          <t xml:space="preserve">[32,1024]×[1024,4096]</t>
        </is>
      </c>
      <c r="AC8" s="6" t="inlineStr">
        <is>
          <t xml:space="preserve">[32,2048]×[2048,1024]</t>
        </is>
      </c>
      <c r="AD8" s="6" t="inlineStr">
        <is>
          <t xml:space="preserve">strict known arithmetic</t>
        </is>
      </c>
    </row>
    <row r="9" ht="30" customHeight="1">
      <c r="A9" s="5" t="inlineStr">
        <is>
          <t xml:space="preserve">RPU physical launch</t>
        </is>
      </c>
      <c r="B9" s="6" t="inlineStr">
        <is>
          <t xml:space="preserve">含 KV replication / b-a padding</t>
        </is>
      </c>
      <c r="C9" s="6" t="inlineStr">
        <is>
          <t xml:space="preserve">[112/140,1536]×[1536,1024]</t>
        </is>
      </c>
      <c r="D9" s="6" t="inlineStr">
        <is>
          <t xml:space="preserve">3×[M,1024]×[1024,1024]</t>
        </is>
      </c>
      <c r="E9" s="6" t="inlineStr">
        <is>
          <t xml:space="preserve">M=112,140,140; H=16,D=64</t>
        </is>
      </c>
      <c r="F9" s="6" t="inlineStr">
        <is>
          <t xml:space="preserve">[M,1024]×[1024,1024]</t>
        </is>
      </c>
      <c r="G9" s="6" t="inlineStr">
        <is>
          <t xml:space="preserve">[M,1024]×[1024,4096]</t>
        </is>
      </c>
      <c r="H9" s="6" t="inlineStr">
        <is>
          <t xml:space="preserve">[M,4096]×[4096,1024]</t>
        </is>
      </c>
      <c r="I9" s="6" t="inlineStr">
        <is>
          <t xml:space="preserve">[28/35,4096]×[4096,4096]</t>
        </is>
      </c>
      <c r="J9" s="6" t="inlineStr">
        <is>
          <t xml:space="preserve">[28/35,4096]×[4096,2048]</t>
        </is>
      </c>
      <c r="K9" s="6" t="inlineStr">
        <is>
          <t xml:space="preserve">4×[M,2048]×[2048,2048] + 2×[M,2048]×[2048,128]</t>
        </is>
      </c>
      <c r="L9" s="6" t="inlineStr">
        <is>
          <t xml:space="preserve">q/k/v path conv, k=4</t>
        </is>
      </c>
      <c r="M9" s="6" t="inlineStr">
        <is>
          <t xml:space="preserve">assembled BMM/eltwise graph</t>
        </is>
      </c>
      <c r="N9" s="6" t="inlineStr">
        <is>
          <t xml:space="preserve">[M,2048]×[2048,2048]</t>
        </is>
      </c>
      <c r="O9" s="6" t="inlineStr">
        <is>
          <t xml:space="preserve">[M,2048]×[2048,12288]</t>
        </is>
      </c>
      <c r="P9" s="6" t="inlineStr">
        <is>
          <t xml:space="preserve">[M,6144]×[6144,2048]</t>
        </is>
      </c>
      <c r="Q9" s="6" t="inlineStr">
        <is>
          <t xml:space="preserve">[M,2048]×[2048,8192] (KV 2→8 replicate)</t>
        </is>
      </c>
      <c r="R9" s="6" t="inlineStr">
        <is>
          <t xml:space="preserve">chunks=(128, 128, 128); KV=(128, 256, 384)</t>
        </is>
      </c>
      <c r="S9" s="6" t="inlineStr">
        <is>
          <t xml:space="preserve">[M,2048]×[2048,2048]</t>
        </is>
      </c>
      <c r="T9" s="6" t="inlineStr">
        <is>
          <t xml:space="preserve">[M,2048]×[2048,12288]</t>
        </is>
      </c>
      <c r="U9" s="6" t="inlineStr">
        <is>
          <t xml:space="preserve">[M,6144]×[6144,2048]</t>
        </is>
      </c>
      <c r="V9" s="6" t="inlineStr">
        <is>
          <t xml:space="preserve">FP16 RMSNorm + gate; modulation host FP32</t>
        </is>
      </c>
      <c r="W9" s="6" t="inlineStr">
        <is>
          <t xml:space="preserve">[32,1024]×[1024,4096]</t>
        </is>
      </c>
      <c r="X9" s="6" t="inlineStr">
        <is>
          <t xml:space="preserve">[32,2048]×[2048,1024]</t>
        </is>
      </c>
      <c r="Y9" s="6" t="inlineStr">
        <is>
          <t xml:space="preserve">[32,1024]×[1024,8192] (KV 2→8 replicate)</t>
        </is>
      </c>
      <c r="Z9" s="6" t="inlineStr">
        <is>
          <t xml:space="preserve">prefix real=384, KV=416</t>
        </is>
      </c>
      <c r="AA9" s="6" t="inlineStr">
        <is>
          <t xml:space="preserve">[32,2048]×[2048,1024]</t>
        </is>
      </c>
      <c r="AB9" s="6" t="inlineStr">
        <is>
          <t xml:space="preserve">[32,1024]×[1024,4096]</t>
        </is>
      </c>
      <c r="AC9" s="6" t="inlineStr">
        <is>
          <t xml:space="preserve">[32,2048]×[2048,1024]</t>
        </is>
      </c>
      <c r="AD9" s="6" t="inlineStr">
        <is>
          <t xml:space="preserve">assumed FP16 weight-stream proxy</t>
        </is>
      </c>
    </row>
    <row r="10" ht="22" customHeight="1">
      <c r="A10" s="5" t="inlineStr">
        <is>
          <t xml:space="preserve">调用次数</t>
        </is>
      </c>
      <c r="B10" s="6" t="inlineStr">
        <is>
          <t xml:space="preserve">权重流量的重复因子</t>
        </is>
      </c>
      <c r="C10" s="5" t="inlineStr">
        <is>
          <t xml:space="preserve">3图</t>
        </is>
      </c>
      <c r="D10" s="5" t="inlineStr">
        <is>
          <t xml:space="preserve">3图×24层</t>
        </is>
      </c>
      <c r="E10" s="5" t="inlineStr">
        <is>
          <t xml:space="preserve">3图×24层</t>
        </is>
      </c>
      <c r="F10" s="5" t="inlineStr">
        <is>
          <t xml:space="preserve">3图×24层</t>
        </is>
      </c>
      <c r="G10" s="5" t="inlineStr">
        <is>
          <t xml:space="preserve">3图×24层</t>
        </is>
      </c>
      <c r="H10" s="5" t="inlineStr">
        <is>
          <t xml:space="preserve">3图×24层</t>
        </is>
      </c>
      <c r="I10" s="5" t="inlineStr">
        <is>
          <t xml:space="preserve">3图</t>
        </is>
      </c>
      <c r="J10" s="5" t="inlineStr">
        <is>
          <t xml:space="preserve">3图</t>
        </is>
      </c>
      <c r="K10" s="5" t="inlineStr">
        <is>
          <t xml:space="preserve">3 chunks×18层</t>
        </is>
      </c>
      <c r="L10" s="5" t="inlineStr">
        <is>
          <t xml:space="preserve">3 chunks×18层</t>
        </is>
      </c>
      <c r="M10" s="5" t="inlineStr">
        <is>
          <t xml:space="preserve">3 chunks×18层</t>
        </is>
      </c>
      <c r="N10" s="5" t="inlineStr">
        <is>
          <t xml:space="preserve">3 chunks×18层</t>
        </is>
      </c>
      <c r="O10" s="5" t="inlineStr">
        <is>
          <t xml:space="preserve">3 chunks×18层</t>
        </is>
      </c>
      <c r="P10" s="5" t="inlineStr">
        <is>
          <t xml:space="preserve">3 chunks×18层</t>
        </is>
      </c>
      <c r="Q10" s="5" t="inlineStr">
        <is>
          <t xml:space="preserve">3 chunks×6层</t>
        </is>
      </c>
      <c r="R10" s="5" t="inlineStr">
        <is>
          <t xml:space="preserve">3 chunks×6层</t>
        </is>
      </c>
      <c r="S10" s="5" t="inlineStr">
        <is>
          <t xml:space="preserve">3 chunks×6层</t>
        </is>
      </c>
      <c r="T10" s="5" t="inlineStr">
        <is>
          <t xml:space="preserve">3 chunks×6层</t>
        </is>
      </c>
      <c r="U10" s="5" t="inlineStr">
        <is>
          <t xml:space="preserve">3 chunks×6层</t>
        </is>
      </c>
      <c r="V10" s="5" t="inlineStr">
        <is>
          <t xml:space="preserve">10 steps×18层</t>
        </is>
      </c>
      <c r="W10" s="5" t="inlineStr">
        <is>
          <t xml:space="preserve">10 steps×18层</t>
        </is>
      </c>
      <c r="X10" s="5" t="inlineStr">
        <is>
          <t xml:space="preserve">10 steps×18层</t>
        </is>
      </c>
      <c r="Y10" s="5" t="inlineStr">
        <is>
          <t xml:space="preserve">10 steps×6层</t>
        </is>
      </c>
      <c r="Z10" s="5" t="inlineStr">
        <is>
          <t xml:space="preserve">10 steps×6层</t>
        </is>
      </c>
      <c r="AA10" s="5" t="inlineStr">
        <is>
          <t xml:space="preserve">10 steps×6层</t>
        </is>
      </c>
      <c r="AB10" s="5" t="inlineStr">
        <is>
          <t xml:space="preserve">10 steps×6层</t>
        </is>
      </c>
      <c r="AC10" s="5" t="inlineStr">
        <is>
          <t xml:space="preserve">10 steps×6层</t>
        </is>
      </c>
      <c r="AD10" s="5" t="inlineStr">
        <is>
          <t xml:space="preserve">request</t>
        </is>
      </c>
    </row>
    <row r="11" ht="22" customHeight="1">
      <c r="A11" s="5" t="inlineStr">
        <is>
          <t xml:space="preserve">逻辑参数</t>
        </is>
      </c>
      <c r="B11" s="6" t="inlineStr">
        <is>
          <t xml:space="preserve">Mi parameters / layer or call</t>
        </is>
      </c>
      <c r="C11" s="15">
        <v>1.5</v>
      </c>
      <c r="D11" s="15">
        <v>3</v>
      </c>
      <c r="E11" s="15" t="inlineStr">
        <is>
          <t xml:space="preserve">—</t>
        </is>
      </c>
      <c r="F11" s="15">
        <v>1</v>
      </c>
      <c r="G11" s="15">
        <v>4</v>
      </c>
      <c r="H11" s="15">
        <v>4</v>
      </c>
      <c r="I11" s="15">
        <v>16</v>
      </c>
      <c r="J11" s="15">
        <v>8</v>
      </c>
      <c r="K11" s="15">
        <v>16.0625</v>
      </c>
      <c r="L11" s="15">
        <v>0.0234375</v>
      </c>
      <c r="M11" s="15" t="inlineStr">
        <is>
          <t xml:space="preserve">—</t>
        </is>
      </c>
      <c r="N11" s="15">
        <v>4</v>
      </c>
      <c r="O11" s="15">
        <v>24</v>
      </c>
      <c r="P11" s="15">
        <v>12</v>
      </c>
      <c r="Q11" s="15">
        <v>10</v>
      </c>
      <c r="R11" s="15" t="inlineStr">
        <is>
          <t xml:space="preserve">—</t>
        </is>
      </c>
      <c r="S11" s="15">
        <v>4</v>
      </c>
      <c r="T11" s="15">
        <v>24</v>
      </c>
      <c r="U11" s="15">
        <v>12</v>
      </c>
      <c r="V11" s="15" t="inlineStr">
        <is>
          <t xml:space="preserve">—</t>
        </is>
      </c>
      <c r="W11" s="15">
        <v>4</v>
      </c>
      <c r="X11" s="15">
        <v>2</v>
      </c>
      <c r="Y11" s="15">
        <v>5</v>
      </c>
      <c r="Z11" s="15" t="inlineStr">
        <is>
          <t xml:space="preserve">—</t>
        </is>
      </c>
      <c r="AA11" s="15">
        <v>2</v>
      </c>
      <c r="AB11" s="15">
        <v>4</v>
      </c>
      <c r="AC11" s="15">
        <v>2</v>
      </c>
      <c r="AD11" s="15" t="inlineStr">
        <is>
          <t xml:space="preserve">—</t>
        </is>
      </c>
    </row>
    <row r="12" ht="22" customHeight="1">
      <c r="A12" s="5" t="inlineStr">
        <is>
          <t xml:space="preserve">RPU参数</t>
        </is>
      </c>
      <c r="B12" s="6" t="inlineStr">
        <is>
          <t xml:space="preserve">Mi parameters / physical launch</t>
        </is>
      </c>
      <c r="C12" s="15">
        <v>1.5</v>
      </c>
      <c r="D12" s="15">
        <v>3</v>
      </c>
      <c r="E12" s="15" t="inlineStr">
        <is>
          <t xml:space="preserve">—</t>
        </is>
      </c>
      <c r="F12" s="15">
        <v>1</v>
      </c>
      <c r="G12" s="15">
        <v>4</v>
      </c>
      <c r="H12" s="15">
        <v>4</v>
      </c>
      <c r="I12" s="15">
        <v>16</v>
      </c>
      <c r="J12" s="15">
        <v>8</v>
      </c>
      <c r="K12" s="15">
        <v>16.5</v>
      </c>
      <c r="L12" s="15">
        <v>0.0234375</v>
      </c>
      <c r="M12" s="15" t="inlineStr">
        <is>
          <t xml:space="preserve">—</t>
        </is>
      </c>
      <c r="N12" s="15">
        <v>4</v>
      </c>
      <c r="O12" s="15">
        <v>24</v>
      </c>
      <c r="P12" s="15">
        <v>12</v>
      </c>
      <c r="Q12" s="15">
        <v>16</v>
      </c>
      <c r="R12" s="15" t="inlineStr">
        <is>
          <t xml:space="preserve">—</t>
        </is>
      </c>
      <c r="S12" s="15">
        <v>4</v>
      </c>
      <c r="T12" s="15">
        <v>24</v>
      </c>
      <c r="U12" s="15">
        <v>12</v>
      </c>
      <c r="V12" s="15" t="inlineStr">
        <is>
          <t xml:space="preserve">—</t>
        </is>
      </c>
      <c r="W12" s="15">
        <v>4</v>
      </c>
      <c r="X12" s="15">
        <v>2</v>
      </c>
      <c r="Y12" s="15">
        <v>8</v>
      </c>
      <c r="Z12" s="15" t="inlineStr">
        <is>
          <t xml:space="preserve">—</t>
        </is>
      </c>
      <c r="AA12" s="15">
        <v>2</v>
      </c>
      <c r="AB12" s="15">
        <v>4</v>
      </c>
      <c r="AC12" s="15">
        <v>2</v>
      </c>
      <c r="AD12" s="15" t="inlineStr">
        <is>
          <t xml:space="preserve">—</t>
        </is>
      </c>
    </row>
    <row r="13" ht="22" customHeight="1">
      <c r="A13" s="5" t="inlineStr">
        <is>
          <t xml:space="preserve">每参数字节</t>
        </is>
      </c>
      <c r="B13" s="6" t="inlineStr">
        <is>
          <t xml:space="preserve">FP16=2；非GEMM为—</t>
        </is>
      </c>
      <c r="C13" s="15">
        <v>2</v>
      </c>
      <c r="D13" s="15">
        <v>2</v>
      </c>
      <c r="E13" s="15" t="inlineStr">
        <is>
          <t xml:space="preserve">—</t>
        </is>
      </c>
      <c r="F13" s="15">
        <v>2</v>
      </c>
      <c r="G13" s="15">
        <v>2</v>
      </c>
      <c r="H13" s="15">
        <v>2</v>
      </c>
      <c r="I13" s="15">
        <v>2</v>
      </c>
      <c r="J13" s="15">
        <v>2</v>
      </c>
      <c r="K13" s="15">
        <v>2</v>
      </c>
      <c r="L13" s="15">
        <v>2</v>
      </c>
      <c r="M13" s="15" t="inlineStr">
        <is>
          <t xml:space="preserve">—</t>
        </is>
      </c>
      <c r="N13" s="15">
        <v>2</v>
      </c>
      <c r="O13" s="15">
        <v>2</v>
      </c>
      <c r="P13" s="15">
        <v>2</v>
      </c>
      <c r="Q13" s="15">
        <v>2</v>
      </c>
      <c r="R13" s="15" t="inlineStr">
        <is>
          <t xml:space="preserve">—</t>
        </is>
      </c>
      <c r="S13" s="15">
        <v>2</v>
      </c>
      <c r="T13" s="15">
        <v>2</v>
      </c>
      <c r="U13" s="15">
        <v>2</v>
      </c>
      <c r="V13" s="15" t="inlineStr">
        <is>
          <t xml:space="preserve">—</t>
        </is>
      </c>
      <c r="W13" s="15">
        <v>2</v>
      </c>
      <c r="X13" s="15">
        <v>2</v>
      </c>
      <c r="Y13" s="15">
        <v>2</v>
      </c>
      <c r="Z13" s="15" t="inlineStr">
        <is>
          <t xml:space="preserve">—</t>
        </is>
      </c>
      <c r="AA13" s="15">
        <v>2</v>
      </c>
      <c r="AB13" s="15">
        <v>2</v>
      </c>
      <c r="AC13" s="15">
        <v>2</v>
      </c>
      <c r="AD13" s="15">
        <v>2</v>
      </c>
    </row>
    <row r="14" ht="22" customHeight="1">
      <c r="A14" s="11" t="inlineStr">
        <is>
          <t xml:space="preserve">假设权重流量 proxy</t>
        </is>
      </c>
      <c r="B14" s="6" t="inlineStr">
        <is>
          <t xml:space="preserve">MiB/request；参数字节×假定 stream 次数</t>
        </is>
      </c>
      <c r="C14" s="15">
        <v>9</v>
      </c>
      <c r="D14" s="15">
        <v>432</v>
      </c>
      <c r="E14" s="15" t="inlineStr">
        <is>
          <t xml:space="preserve">—</t>
        </is>
      </c>
      <c r="F14" s="15">
        <v>144</v>
      </c>
      <c r="G14" s="15">
        <v>576</v>
      </c>
      <c r="H14" s="15">
        <v>576</v>
      </c>
      <c r="I14" s="15">
        <v>96</v>
      </c>
      <c r="J14" s="15">
        <v>48</v>
      </c>
      <c r="K14" s="15">
        <v>1782</v>
      </c>
      <c r="L14" s="15">
        <v>2.53125</v>
      </c>
      <c r="M14" s="15" t="inlineStr">
        <is>
          <t xml:space="preserve">—</t>
        </is>
      </c>
      <c r="N14" s="15">
        <v>432</v>
      </c>
      <c r="O14" s="15">
        <v>2592</v>
      </c>
      <c r="P14" s="15">
        <v>1296</v>
      </c>
      <c r="Q14" s="15">
        <v>576</v>
      </c>
      <c r="R14" s="15" t="inlineStr">
        <is>
          <t xml:space="preserve">—</t>
        </is>
      </c>
      <c r="S14" s="15">
        <v>144</v>
      </c>
      <c r="T14" s="15">
        <v>864</v>
      </c>
      <c r="U14" s="15">
        <v>432</v>
      </c>
      <c r="V14" s="15" t="inlineStr">
        <is>
          <t xml:space="preserve">—</t>
        </is>
      </c>
      <c r="W14" s="15">
        <v>1440</v>
      </c>
      <c r="X14" s="15">
        <v>720</v>
      </c>
      <c r="Y14" s="15">
        <v>960</v>
      </c>
      <c r="Z14" s="15" t="inlineStr">
        <is>
          <t xml:space="preserve">—</t>
        </is>
      </c>
      <c r="AA14" s="15">
        <v>240</v>
      </c>
      <c r="AB14" s="15">
        <v>480</v>
      </c>
      <c r="AC14" s="15">
        <v>240</v>
      </c>
      <c r="AD14" s="16">
        <v>14081.53125</v>
      </c>
    </row>
    <row r="15" ht="22" customHeight="1">
      <c r="A15" s="11" t="inlineStr">
        <is>
          <t xml:space="preserve">严格已知 FLOPs</t>
        </is>
      </c>
      <c r="B15" s="6" t="inlineStr">
        <is>
          <t xml:space="preserve">MiFLOP/request；不含未建模项</t>
        </is>
      </c>
      <c r="C15" s="15">
        <v>1176</v>
      </c>
      <c r="D15" s="15">
        <v>56448</v>
      </c>
      <c r="E15" s="15">
        <v>4851</v>
      </c>
      <c r="F15" s="15">
        <v>18816</v>
      </c>
      <c r="G15" s="15">
        <v>75264</v>
      </c>
      <c r="H15" s="15">
        <v>75264</v>
      </c>
      <c r="I15" s="15">
        <v>3136</v>
      </c>
      <c r="J15" s="15">
        <v>1568</v>
      </c>
      <c r="K15" s="15">
        <v>228096</v>
      </c>
      <c r="L15" s="15">
        <v>324</v>
      </c>
      <c r="M15" s="15" t="inlineStr">
        <is>
          <t xml:space="preserve">—</t>
        </is>
      </c>
      <c r="N15" s="15">
        <v>55296</v>
      </c>
      <c r="O15" s="15">
        <v>331776</v>
      </c>
      <c r="P15" s="15">
        <v>165888</v>
      </c>
      <c r="Q15" s="15">
        <v>73728</v>
      </c>
      <c r="R15" s="15">
        <v>4608</v>
      </c>
      <c r="S15" s="15">
        <v>18432</v>
      </c>
      <c r="T15" s="15">
        <v>110592</v>
      </c>
      <c r="U15" s="15">
        <v>55296</v>
      </c>
      <c r="V15" s="15" t="inlineStr">
        <is>
          <t xml:space="preserve">—</t>
        </is>
      </c>
      <c r="W15" s="15">
        <v>46080</v>
      </c>
      <c r="X15" s="15">
        <v>23040</v>
      </c>
      <c r="Y15" s="15">
        <v>30720</v>
      </c>
      <c r="Z15" s="15">
        <v>6240</v>
      </c>
      <c r="AA15" s="15">
        <v>7680</v>
      </c>
      <c r="AB15" s="15">
        <v>15360</v>
      </c>
      <c r="AC15" s="15">
        <v>7680</v>
      </c>
      <c r="AD15" s="16">
        <v>1417359</v>
      </c>
    </row>
    <row r="16" ht="22" customHeight="1">
      <c r="A16" s="5" t="inlineStr">
        <is>
          <t xml:space="preserve">补充 BMM FLOPs</t>
        </is>
      </c>
      <c r="B16" s="6" t="inlineStr">
        <is>
          <t xml:space="preserve">MiFLOP；每核 critical-path proxy，芯片聚合约×8；不入严格合计</t>
        </is>
      </c>
      <c r="C16" s="15" t="inlineStr">
        <is>
          <t xml:space="preserve">—</t>
        </is>
      </c>
      <c r="D16" s="15" t="inlineStr">
        <is>
          <t xml:space="preserve">—</t>
        </is>
      </c>
      <c r="E16" s="15" t="inlineStr">
        <is>
          <t xml:space="preserve">—</t>
        </is>
      </c>
      <c r="F16" s="15" t="inlineStr">
        <is>
          <t xml:space="preserve">—</t>
        </is>
      </c>
      <c r="G16" s="15" t="inlineStr">
        <is>
          <t xml:space="preserve">—</t>
        </is>
      </c>
      <c r="H16" s="15" t="inlineStr">
        <is>
          <t xml:space="preserve">—</t>
        </is>
      </c>
      <c r="I16" s="15" t="inlineStr">
        <is>
          <t xml:space="preserve">—</t>
        </is>
      </c>
      <c r="J16" s="15" t="inlineStr">
        <is>
          <t xml:space="preserve">—</t>
        </is>
      </c>
      <c r="K16" s="15" t="inlineStr">
        <is>
          <t xml:space="preserve">—</t>
        </is>
      </c>
      <c r="L16" s="15" t="inlineStr">
        <is>
          <t xml:space="preserve">—</t>
        </is>
      </c>
      <c r="M16" s="15">
        <v>2376</v>
      </c>
      <c r="N16" s="15" t="inlineStr">
        <is>
          <t xml:space="preserve">—</t>
        </is>
      </c>
      <c r="O16" s="15" t="inlineStr">
        <is>
          <t xml:space="preserve">—</t>
        </is>
      </c>
      <c r="P16" s="15" t="inlineStr">
        <is>
          <t xml:space="preserve">—</t>
        </is>
      </c>
      <c r="Q16" s="15" t="inlineStr">
        <is>
          <t xml:space="preserve">—</t>
        </is>
      </c>
      <c r="R16" s="15" t="inlineStr">
        <is>
          <t xml:space="preserve">—</t>
        </is>
      </c>
      <c r="S16" s="15" t="inlineStr">
        <is>
          <t xml:space="preserve">—</t>
        </is>
      </c>
      <c r="T16" s="15" t="inlineStr">
        <is>
          <t xml:space="preserve">—</t>
        </is>
      </c>
      <c r="U16" s="15" t="inlineStr">
        <is>
          <t xml:space="preserve">—</t>
        </is>
      </c>
      <c r="V16" s="15" t="inlineStr">
        <is>
          <t xml:space="preserve">—</t>
        </is>
      </c>
      <c r="W16" s="15" t="inlineStr">
        <is>
          <t xml:space="preserve">—</t>
        </is>
      </c>
      <c r="X16" s="15" t="inlineStr">
        <is>
          <t xml:space="preserve">—</t>
        </is>
      </c>
      <c r="Y16" s="15" t="inlineStr">
        <is>
          <t xml:space="preserve">—</t>
        </is>
      </c>
      <c r="Z16" s="15" t="inlineStr">
        <is>
          <t xml:space="preserve">—</t>
        </is>
      </c>
      <c r="AA16" s="15" t="inlineStr">
        <is>
          <t xml:space="preserve">—</t>
        </is>
      </c>
      <c r="AB16" s="15" t="inlineStr">
        <is>
          <t xml:space="preserve">—</t>
        </is>
      </c>
      <c r="AC16" s="15" t="inlineStr">
        <is>
          <t xml:space="preserve">—</t>
        </is>
      </c>
      <c r="AD16" s="16">
        <v>2376</v>
      </c>
    </row>
    <row r="17" ht="22" customHeight="1">
      <c r="A17" s="5" t="inlineStr">
        <is>
          <t xml:space="preserve">compute floor</t>
        </is>
      </c>
      <c r="B17" s="6" t="inlineStr">
        <is>
          <t xml:space="preserve">ms；P=阶段汇总!B3（TFLOP/s）</t>
        </is>
      </c>
      <c r="C17" s="10">
        <f>IF(NOT(ISNUMBER('阶段汇总'!$B$3)),"待校准",1176*1048576/('阶段汇总'!$B$3*1000000000000)*1000)</f>
        <v>0.01233125376</v>
      </c>
      <c r="D17" s="10">
        <f>IF(NOT(ISNUMBER('阶段汇总'!$B$3)),"待校准",56448*1048576/('阶段汇总'!$B$3*1000000000000)*1000)</f>
        <v>0.59190018048</v>
      </c>
      <c r="E17" s="10">
        <f>IF(NOT(ISNUMBER('阶段汇总'!$B$3)),"待校准",4851*1048576/('阶段汇总'!$B$3*1000000000000)*1000)</f>
        <v>0.05086642176</v>
      </c>
      <c r="F17" s="10">
        <f>IF(NOT(ISNUMBER('阶段汇总'!$B$3)),"待校准",18816*1048576/('阶段汇总'!$B$3*1000000000000)*1000)</f>
        <v>0.19730006016</v>
      </c>
      <c r="G17" s="10">
        <f>IF(NOT(ISNUMBER('阶段汇总'!$B$3)),"待校准",75264*1048576/('阶段汇总'!$B$3*1000000000000)*1000)</f>
        <v>0.78920024064</v>
      </c>
      <c r="H17" s="10">
        <f>IF(NOT(ISNUMBER('阶段汇总'!$B$3)),"待校准",75264*1048576/('阶段汇总'!$B$3*1000000000000)*1000)</f>
        <v>0.78920024064</v>
      </c>
      <c r="I17" s="10">
        <f>IF(NOT(ISNUMBER('阶段汇总'!$B$3)),"待校准",3136*1048576/('阶段汇总'!$B$3*1000000000000)*1000)</f>
        <v>0.03288334336</v>
      </c>
      <c r="J17" s="10">
        <f>IF(NOT(ISNUMBER('阶段汇总'!$B$3)),"待校准",1568*1048576/('阶段汇总'!$B$3*1000000000000)*1000)</f>
        <v>0.01644167168</v>
      </c>
      <c r="K17" s="10">
        <f>IF(NOT(ISNUMBER('阶段汇总'!$B$3)),"待校准",228096*1048576/('阶段汇总'!$B$3*1000000000000)*1000)</f>
        <v>2.39175991296</v>
      </c>
      <c r="L17" s="10">
        <f>IF(NOT(ISNUMBER('阶段汇总'!$B$3)),"待校准",324*1048576/('阶段汇总'!$B$3*1000000000000)*1000)</f>
        <v>0.00339738624</v>
      </c>
      <c r="M17" s="10" t="inlineStr">
        <is>
          <t xml:space="preserve">N/A</t>
        </is>
      </c>
      <c r="N17" s="10">
        <f>IF(NOT(ISNUMBER('阶段汇总'!$B$3)),"待校准",55296*1048576/('阶段汇总'!$B$3*1000000000000)*1000)</f>
        <v>0.57982058496</v>
      </c>
      <c r="O17" s="10">
        <f>IF(NOT(ISNUMBER('阶段汇总'!$B$3)),"待校准",331776*1048576/('阶段汇总'!$B$3*1000000000000)*1000)</f>
        <v>3.47892350976</v>
      </c>
      <c r="P17" s="10">
        <f>IF(NOT(ISNUMBER('阶段汇总'!$B$3)),"待校准",165888*1048576/('阶段汇总'!$B$3*1000000000000)*1000)</f>
        <v>1.73946175488</v>
      </c>
      <c r="Q17" s="10">
        <f>IF(NOT(ISNUMBER('阶段汇总'!$B$3)),"待校准",73728*1048576/('阶段汇总'!$B$3*1000000000000)*1000)</f>
        <v>0.77309411328</v>
      </c>
      <c r="R17" s="10">
        <f>IF(NOT(ISNUMBER('阶段汇总'!$B$3)),"待校准",4608*1048576/('阶段汇总'!$B$3*1000000000000)*1000)</f>
        <v>0.04831838208</v>
      </c>
      <c r="S17" s="10">
        <f>IF(NOT(ISNUMBER('阶段汇总'!$B$3)),"待校准",18432*1048576/('阶段汇总'!$B$3*1000000000000)*1000)</f>
        <v>0.19327352832</v>
      </c>
      <c r="T17" s="10">
        <f>IF(NOT(ISNUMBER('阶段汇总'!$B$3)),"待校准",110592*1048576/('阶段汇总'!$B$3*1000000000000)*1000)</f>
        <v>1.15964116992</v>
      </c>
      <c r="U17" s="10">
        <f>IF(NOT(ISNUMBER('阶段汇总'!$B$3)),"待校准",55296*1048576/('阶段汇总'!$B$3*1000000000000)*1000)</f>
        <v>0.57982058496</v>
      </c>
      <c r="V17" s="10" t="inlineStr">
        <is>
          <t xml:space="preserve">N/A</t>
        </is>
      </c>
      <c r="W17" s="10">
        <f>IF(NOT(ISNUMBER('阶段汇总'!$B$3)),"待校准",46080*1048576/('阶段汇总'!$B$3*1000000000000)*1000)</f>
        <v>0.4831838208</v>
      </c>
      <c r="X17" s="10">
        <f>IF(NOT(ISNUMBER('阶段汇总'!$B$3)),"待校准",23040*1048576/('阶段汇总'!$B$3*1000000000000)*1000)</f>
        <v>0.2415919104</v>
      </c>
      <c r="Y17" s="10">
        <f>IF(NOT(ISNUMBER('阶段汇总'!$B$3)),"待校准",30720*1048576/('阶段汇总'!$B$3*1000000000000)*1000)</f>
        <v>0.3221225472</v>
      </c>
      <c r="Z17" s="10">
        <f>IF(NOT(ISNUMBER('阶段汇总'!$B$3)),"待校准",6240*1048576/('阶段汇总'!$B$3*1000000000000)*1000)</f>
        <v>0.0654311424</v>
      </c>
      <c r="AA17" s="10">
        <f>IF(NOT(ISNUMBER('阶段汇总'!$B$3)),"待校准",7680*1048576/('阶段汇总'!$B$3*1000000000000)*1000)</f>
        <v>0.0805306368</v>
      </c>
      <c r="AB17" s="10">
        <f>IF(NOT(ISNUMBER('阶段汇总'!$B$3)),"待校准",15360*1048576/('阶段汇总'!$B$3*1000000000000)*1000)</f>
        <v>0.1610612736</v>
      </c>
      <c r="AC17" s="10">
        <f>IF(NOT(ISNUMBER('阶段汇总'!$B$3)),"待校准",7680*1048576/('阶段汇总'!$B$3*1000000000000)*1000)</f>
        <v>0.0805306368</v>
      </c>
      <c r="AD17" s="10">
        <f>IF(NOT(ISNUMBER('阶段汇总'!$B$3)),"待校准",1417359*1048576/('阶段汇总'!$B$3*1000000000000)*1000)</f>
        <v>14.8620863078</v>
      </c>
    </row>
    <row r="18" ht="22" customHeight="1">
      <c r="A18" s="5" t="inlineStr">
        <is>
          <t xml:space="preserve">memory floor</t>
        </is>
      </c>
      <c r="B18" s="6" t="inlineStr">
        <is>
          <t xml:space="preserve">ms；BW=阶段汇总!B4（十进制 GB/s）</t>
        </is>
      </c>
      <c r="C18" s="10">
        <f>IF(NOT(ISNUMBER('阶段汇总'!$B$4)),"待校准",9*1048576/('阶段汇总'!$B$4*1000000000)*1000)</f>
        <v>0.0674084571429</v>
      </c>
      <c r="D18" s="10">
        <f>IF(NOT(ISNUMBER('阶段汇总'!$B$4)),"待校准",432*1048576/('阶段汇总'!$B$4*1000000000)*1000)</f>
        <v>3.23560594286</v>
      </c>
      <c r="E18" s="10" t="inlineStr">
        <is>
          <t xml:space="preserve">N/A</t>
        </is>
      </c>
      <c r="F18" s="10">
        <f>IF(NOT(ISNUMBER('阶段汇总'!$B$4)),"待校准",144*1048576/('阶段汇总'!$B$4*1000000000)*1000)</f>
        <v>1.07853531429</v>
      </c>
      <c r="G18" s="10">
        <f>IF(NOT(ISNUMBER('阶段汇总'!$B$4)),"待校准",576*1048576/('阶段汇总'!$B$4*1000000000)*1000)</f>
        <v>4.31414125714</v>
      </c>
      <c r="H18" s="10">
        <f>IF(NOT(ISNUMBER('阶段汇总'!$B$4)),"待校准",576*1048576/('阶段汇总'!$B$4*1000000000)*1000)</f>
        <v>4.31414125714</v>
      </c>
      <c r="I18" s="10">
        <f>IF(NOT(ISNUMBER('阶段汇总'!$B$4)),"待校准",96*1048576/('阶段汇总'!$B$4*1000000000)*1000)</f>
        <v>0.719023542857</v>
      </c>
      <c r="J18" s="10">
        <f>IF(NOT(ISNUMBER('阶段汇总'!$B$4)),"待校准",48*1048576/('阶段汇总'!$B$4*1000000000)*1000)</f>
        <v>0.359511771429</v>
      </c>
      <c r="K18" s="10">
        <f>IF(NOT(ISNUMBER('阶段汇总'!$B$4)),"待校准",1782*1048576/('阶段汇总'!$B$4*1000000000)*1000)</f>
        <v>13.3468745143</v>
      </c>
      <c r="L18" s="10">
        <f>IF(NOT(ISNUMBER('阶段汇总'!$B$4)),"待校准",2.53125*1048576/('阶段汇总'!$B$4*1000000000)*1000)</f>
        <v>0.0189586285714</v>
      </c>
      <c r="M18" s="10" t="inlineStr">
        <is>
          <t xml:space="preserve">N/A</t>
        </is>
      </c>
      <c r="N18" s="10">
        <f>IF(NOT(ISNUMBER('阶段汇总'!$B$4)),"待校准",432*1048576/('阶段汇总'!$B$4*1000000000)*1000)</f>
        <v>3.23560594286</v>
      </c>
      <c r="O18" s="10">
        <f>IF(NOT(ISNUMBER('阶段汇总'!$B$4)),"待校准",2592*1048576/('阶段汇总'!$B$4*1000000000)*1000)</f>
        <v>19.4136356571</v>
      </c>
      <c r="P18" s="10">
        <f>IF(NOT(ISNUMBER('阶段汇总'!$B$4)),"待校准",1296*1048576/('阶段汇总'!$B$4*1000000000)*1000)</f>
        <v>9.70681782857</v>
      </c>
      <c r="Q18" s="10">
        <f>IF(NOT(ISNUMBER('阶段汇总'!$B$4)),"待校准",576*1048576/('阶段汇总'!$B$4*1000000000)*1000)</f>
        <v>4.31414125714</v>
      </c>
      <c r="R18" s="10" t="inlineStr">
        <is>
          <t xml:space="preserve">N/A</t>
        </is>
      </c>
      <c r="S18" s="10">
        <f>IF(NOT(ISNUMBER('阶段汇总'!$B$4)),"待校准",144*1048576/('阶段汇总'!$B$4*1000000000)*1000)</f>
        <v>1.07853531429</v>
      </c>
      <c r="T18" s="10">
        <f>IF(NOT(ISNUMBER('阶段汇总'!$B$4)),"待校准",864*1048576/('阶段汇总'!$B$4*1000000000)*1000)</f>
        <v>6.47121188571</v>
      </c>
      <c r="U18" s="10">
        <f>IF(NOT(ISNUMBER('阶段汇总'!$B$4)),"待校准",432*1048576/('阶段汇总'!$B$4*1000000000)*1000)</f>
        <v>3.23560594286</v>
      </c>
      <c r="V18" s="10" t="inlineStr">
        <is>
          <t xml:space="preserve">N/A</t>
        </is>
      </c>
      <c r="W18" s="10">
        <f>IF(NOT(ISNUMBER('阶段汇总'!$B$4)),"待校准",1440*1048576/('阶段汇总'!$B$4*1000000000)*1000)</f>
        <v>10.7853531429</v>
      </c>
      <c r="X18" s="10">
        <f>IF(NOT(ISNUMBER('阶段汇总'!$B$4)),"待校准",720*1048576/('阶段汇总'!$B$4*1000000000)*1000)</f>
        <v>5.39267657143</v>
      </c>
      <c r="Y18" s="10">
        <f>IF(NOT(ISNUMBER('阶段汇总'!$B$4)),"待校准",960*1048576/('阶段汇总'!$B$4*1000000000)*1000)</f>
        <v>7.19023542857</v>
      </c>
      <c r="Z18" s="10" t="inlineStr">
        <is>
          <t xml:space="preserve">N/A</t>
        </is>
      </c>
      <c r="AA18" s="10">
        <f>IF(NOT(ISNUMBER('阶段汇总'!$B$4)),"待校准",240*1048576/('阶段汇总'!$B$4*1000000000)*1000)</f>
        <v>1.79755885714</v>
      </c>
      <c r="AB18" s="10">
        <f>IF(NOT(ISNUMBER('阶段汇总'!$B$4)),"待校准",480*1048576/('阶段汇总'!$B$4*1000000000)*1000)</f>
        <v>3.59511771429</v>
      </c>
      <c r="AC18" s="10">
        <f>IF(NOT(ISNUMBER('阶段汇总'!$B$4)),"待校准",240*1048576/('阶段汇总'!$B$4*1000000000)*1000)</f>
        <v>1.79755885714</v>
      </c>
      <c r="AD18" s="10">
        <f>IF(NOT(ISNUMBER('阶段汇总'!$B$4)),"待校准",14081.53125*1048576/('阶段汇总'!$B$4*1000000000)*1000)</f>
        <v>105.468255086</v>
      </c>
    </row>
    <row r="19" ht="22" customHeight="1">
      <c r="A19" s="5" t="inlineStr">
        <is>
          <t xml:space="preserve">roofline</t>
        </is>
      </c>
      <c r="B19" s="6" t="inlineStr">
        <is>
          <t xml:space="preserve">max(compute,memory,launch)；理想化下限</t>
        </is>
      </c>
      <c r="C19" s="10">
        <f>IF(OR(NOT(ISNUMBER('阶段汇总'!$B$3)),NOT(ISNUMBER('阶段汇总'!$B$4)),NOT(ISNUMBER('阶段汇总'!$B$5))),"待校准",MAX(1176*1048576/('阶段汇总'!$B$3*1000000000000)*1000,9*1048576/('阶段汇总'!$B$4*1000000000)*1000,'阶段汇总'!$B$5))</f>
        <v>0.0674084571429</v>
      </c>
      <c r="D19" s="10">
        <f>IF(OR(NOT(ISNUMBER('阶段汇总'!$B$3)),NOT(ISNUMBER('阶段汇总'!$B$4)),NOT(ISNUMBER('阶段汇总'!$B$5))),"待校准",MAX(56448*1048576/('阶段汇总'!$B$3*1000000000000)*1000,432*1048576/('阶段汇总'!$B$4*1000000000)*1000,'阶段汇总'!$B$5))</f>
        <v>3.23560594286</v>
      </c>
      <c r="E19" s="10">
        <f>IF(OR(NOT(ISNUMBER('阶段汇总'!$B$3)),NOT(ISNUMBER('阶段汇总'!$B$4)),NOT(ISNUMBER('阶段汇总'!$B$5))),"待校准",MAX(4851*1048576/('阶段汇总'!$B$3*1000000000000)*1000,'阶段汇总'!$B$5))</f>
        <v>0.05086642176</v>
      </c>
      <c r="F19" s="10">
        <f>IF(OR(NOT(ISNUMBER('阶段汇总'!$B$3)),NOT(ISNUMBER('阶段汇总'!$B$4)),NOT(ISNUMBER('阶段汇总'!$B$5))),"待校准",MAX(18816*1048576/('阶段汇总'!$B$3*1000000000000)*1000,144*1048576/('阶段汇总'!$B$4*1000000000)*1000,'阶段汇总'!$B$5))</f>
        <v>1.07853531429</v>
      </c>
      <c r="G19" s="10">
        <f>IF(OR(NOT(ISNUMBER('阶段汇总'!$B$3)),NOT(ISNUMBER('阶段汇总'!$B$4)),NOT(ISNUMBER('阶段汇总'!$B$5))),"待校准",MAX(75264*1048576/('阶段汇总'!$B$3*1000000000000)*1000,576*1048576/('阶段汇总'!$B$4*1000000000)*1000,'阶段汇总'!$B$5))</f>
        <v>4.31414125714</v>
      </c>
      <c r="H19" s="10">
        <f>IF(OR(NOT(ISNUMBER('阶段汇总'!$B$3)),NOT(ISNUMBER('阶段汇总'!$B$4)),NOT(ISNUMBER('阶段汇总'!$B$5))),"待校准",MAX(75264*1048576/('阶段汇总'!$B$3*1000000000000)*1000,576*1048576/('阶段汇总'!$B$4*1000000000)*1000,'阶段汇总'!$B$5))</f>
        <v>4.31414125714</v>
      </c>
      <c r="I19" s="10">
        <f>IF(OR(NOT(ISNUMBER('阶段汇总'!$B$3)),NOT(ISNUMBER('阶段汇总'!$B$4)),NOT(ISNUMBER('阶段汇总'!$B$5))),"待校准",MAX(3136*1048576/('阶段汇总'!$B$3*1000000000000)*1000,96*1048576/('阶段汇总'!$B$4*1000000000)*1000,'阶段汇总'!$B$5))</f>
        <v>0.719023542857</v>
      </c>
      <c r="J19" s="10">
        <f>IF(OR(NOT(ISNUMBER('阶段汇总'!$B$3)),NOT(ISNUMBER('阶段汇总'!$B$4)),NOT(ISNUMBER('阶段汇总'!$B$5))),"待校准",MAX(1568*1048576/('阶段汇总'!$B$3*1000000000000)*1000,48*1048576/('阶段汇总'!$B$4*1000000000)*1000,'阶段汇总'!$B$5))</f>
        <v>0.359511771429</v>
      </c>
      <c r="K19" s="10">
        <f>IF(OR(NOT(ISNUMBER('阶段汇总'!$B$3)),NOT(ISNUMBER('阶段汇总'!$B$4)),NOT(ISNUMBER('阶段汇总'!$B$5))),"待校准",MAX(228096*1048576/('阶段汇总'!$B$3*1000000000000)*1000,1782*1048576/('阶段汇总'!$B$4*1000000000)*1000,'阶段汇总'!$B$5))</f>
        <v>13.3468745143</v>
      </c>
      <c r="L19" s="10">
        <f>IF(OR(NOT(ISNUMBER('阶段汇总'!$B$3)),NOT(ISNUMBER('阶段汇总'!$B$4)),NOT(ISNUMBER('阶段汇总'!$B$5))),"待校准",MAX(324*1048576/('阶段汇总'!$B$3*1000000000000)*1000,2.53125*1048576/('阶段汇总'!$B$4*1000000000)*1000,'阶段汇总'!$B$5))</f>
        <v>0.0189586285714</v>
      </c>
      <c r="M19" s="10" t="inlineStr">
        <is>
          <t xml:space="preserve">N/A</t>
        </is>
      </c>
      <c r="N19" s="10">
        <f>IF(OR(NOT(ISNUMBER('阶段汇总'!$B$3)),NOT(ISNUMBER('阶段汇总'!$B$4)),NOT(ISNUMBER('阶段汇总'!$B$5))),"待校准",MAX(55296*1048576/('阶段汇总'!$B$3*1000000000000)*1000,432*1048576/('阶段汇总'!$B$4*1000000000)*1000,'阶段汇总'!$B$5))</f>
        <v>3.23560594286</v>
      </c>
      <c r="O19" s="10">
        <f>IF(OR(NOT(ISNUMBER('阶段汇总'!$B$3)),NOT(ISNUMBER('阶段汇总'!$B$4)),NOT(ISNUMBER('阶段汇总'!$B$5))),"待校准",MAX(331776*1048576/('阶段汇总'!$B$3*1000000000000)*1000,2592*1048576/('阶段汇总'!$B$4*1000000000)*1000,'阶段汇总'!$B$5))</f>
        <v>19.4136356571</v>
      </c>
      <c r="P19" s="10">
        <f>IF(OR(NOT(ISNUMBER('阶段汇总'!$B$3)),NOT(ISNUMBER('阶段汇总'!$B$4)),NOT(ISNUMBER('阶段汇总'!$B$5))),"待校准",MAX(165888*1048576/('阶段汇总'!$B$3*1000000000000)*1000,1296*1048576/('阶段汇总'!$B$4*1000000000)*1000,'阶段汇总'!$B$5))</f>
        <v>9.70681782857</v>
      </c>
      <c r="Q19" s="10">
        <f>IF(OR(NOT(ISNUMBER('阶段汇总'!$B$3)),NOT(ISNUMBER('阶段汇总'!$B$4)),NOT(ISNUMBER('阶段汇总'!$B$5))),"待校准",MAX(73728*1048576/('阶段汇总'!$B$3*1000000000000)*1000,576*1048576/('阶段汇总'!$B$4*1000000000)*1000,'阶段汇总'!$B$5))</f>
        <v>4.31414125714</v>
      </c>
      <c r="R19" s="10">
        <f>IF(OR(NOT(ISNUMBER('阶段汇总'!$B$3)),NOT(ISNUMBER('阶段汇总'!$B$4)),NOT(ISNUMBER('阶段汇总'!$B$5))),"待校准",MAX(4608*1048576/('阶段汇总'!$B$3*1000000000000)*1000,'阶段汇总'!$B$5))</f>
        <v>0.04831838208</v>
      </c>
      <c r="S19" s="10">
        <f>IF(OR(NOT(ISNUMBER('阶段汇总'!$B$3)),NOT(ISNUMBER('阶段汇总'!$B$4)),NOT(ISNUMBER('阶段汇总'!$B$5))),"待校准",MAX(18432*1048576/('阶段汇总'!$B$3*1000000000000)*1000,144*1048576/('阶段汇总'!$B$4*1000000000)*1000,'阶段汇总'!$B$5))</f>
        <v>1.07853531429</v>
      </c>
      <c r="T19" s="10">
        <f>IF(OR(NOT(ISNUMBER('阶段汇总'!$B$3)),NOT(ISNUMBER('阶段汇总'!$B$4)),NOT(ISNUMBER('阶段汇总'!$B$5))),"待校准",MAX(110592*1048576/('阶段汇总'!$B$3*1000000000000)*1000,864*1048576/('阶段汇总'!$B$4*1000000000)*1000,'阶段汇总'!$B$5))</f>
        <v>6.47121188571</v>
      </c>
      <c r="U19" s="10">
        <f>IF(OR(NOT(ISNUMBER('阶段汇总'!$B$3)),NOT(ISNUMBER('阶段汇总'!$B$4)),NOT(ISNUMBER('阶段汇总'!$B$5))),"待校准",MAX(55296*1048576/('阶段汇总'!$B$3*1000000000000)*1000,432*1048576/('阶段汇总'!$B$4*1000000000)*1000,'阶段汇总'!$B$5))</f>
        <v>3.23560594286</v>
      </c>
      <c r="V19" s="10" t="inlineStr">
        <is>
          <t xml:space="preserve">N/A</t>
        </is>
      </c>
      <c r="W19" s="10">
        <f>IF(OR(NOT(ISNUMBER('阶段汇总'!$B$3)),NOT(ISNUMBER('阶段汇总'!$B$4)),NOT(ISNUMBER('阶段汇总'!$B$5))),"待校准",MAX(46080*1048576/('阶段汇总'!$B$3*1000000000000)*1000,1440*1048576/('阶段汇总'!$B$4*1000000000)*1000,'阶段汇总'!$B$5))</f>
        <v>10.7853531429</v>
      </c>
      <c r="X19" s="10">
        <f>IF(OR(NOT(ISNUMBER('阶段汇总'!$B$3)),NOT(ISNUMBER('阶段汇总'!$B$4)),NOT(ISNUMBER('阶段汇总'!$B$5))),"待校准",MAX(23040*1048576/('阶段汇总'!$B$3*1000000000000)*1000,720*1048576/('阶段汇总'!$B$4*1000000000)*1000,'阶段汇总'!$B$5))</f>
        <v>5.39267657143</v>
      </c>
      <c r="Y19" s="10">
        <f>IF(OR(NOT(ISNUMBER('阶段汇总'!$B$3)),NOT(ISNUMBER('阶段汇总'!$B$4)),NOT(ISNUMBER('阶段汇总'!$B$5))),"待校准",MAX(30720*1048576/('阶段汇总'!$B$3*1000000000000)*1000,960*1048576/('阶段汇总'!$B$4*1000000000)*1000,'阶段汇总'!$B$5))</f>
        <v>7.19023542857</v>
      </c>
      <c r="Z19" s="10">
        <f>IF(OR(NOT(ISNUMBER('阶段汇总'!$B$3)),NOT(ISNUMBER('阶段汇总'!$B$4)),NOT(ISNUMBER('阶段汇总'!$B$5))),"待校准",MAX(6240*1048576/('阶段汇总'!$B$3*1000000000000)*1000,'阶段汇总'!$B$5))</f>
        <v>0.0654311424</v>
      </c>
      <c r="AA19" s="10">
        <f>IF(OR(NOT(ISNUMBER('阶段汇总'!$B$3)),NOT(ISNUMBER('阶段汇总'!$B$4)),NOT(ISNUMBER('阶段汇总'!$B$5))),"待校准",MAX(7680*1048576/('阶段汇总'!$B$3*1000000000000)*1000,240*1048576/('阶段汇总'!$B$4*1000000000)*1000,'阶段汇总'!$B$5))</f>
        <v>1.79755885714</v>
      </c>
      <c r="AB19" s="10">
        <f>IF(OR(NOT(ISNUMBER('阶段汇总'!$B$3)),NOT(ISNUMBER('阶段汇总'!$B$4)),NOT(ISNUMBER('阶段汇总'!$B$5))),"待校准",MAX(15360*1048576/('阶段汇总'!$B$3*1000000000000)*1000,480*1048576/('阶段汇总'!$B$4*1000000000)*1000,'阶段汇总'!$B$5))</f>
        <v>3.59511771429</v>
      </c>
      <c r="AC19" s="10">
        <f>IF(OR(NOT(ISNUMBER('阶段汇总'!$B$3)),NOT(ISNUMBER('阶段汇总'!$B$4)),NOT(ISNUMBER('阶段汇总'!$B$5))),"待校准",MAX(7680*1048576/('阶段汇总'!$B$3*1000000000000)*1000,240*1048576/('阶段汇总'!$B$4*1000000000)*1000,'阶段汇总'!$B$5))</f>
        <v>1.79755885714</v>
      </c>
      <c r="AD19" s="10">
        <f>IF(OR(NOT(ISNUMBER('阶段汇总'!$B$3)),NOT(ISNUMBER('阶段汇总'!$B$4)),NOT(ISNUMBER('阶段汇总'!$B$5))),"待校准",MAX(1417359*1048576/('阶段汇总'!$B$3*1000000000000)*1000,14081.53125*1048576/('阶段汇总'!$B$4*1000000000)*1000,'阶段汇总'!$B$5))</f>
        <v>105.468255086</v>
      </c>
    </row>
    <row r="20" ht="30" customHeight="1">
      <c r="A20" s="5" t="inlineStr">
        <is>
          <t xml:space="preserve">备注</t>
        </is>
      </c>
      <c r="B20" s="6" t="inlineStr">
        <is>
          <t xml:space="preserve">实现/证据说明</t>
        </is>
      </c>
      <c r="C20" s="7" t="inlineStr">
        <is>
          <t xml:space="preserve">Conv3d folded to Linear; in-graph STEP0</t>
        </is>
      </c>
      <c r="D20" s="7" t="inlineStr">
        <is>
          <t xml:space="preserve">three independent Q/K/V col-sharded GEMMs</t>
        </is>
      </c>
      <c r="E20" s="7" t="inlineStr">
        <is>
          <t xml:space="preserve">QK+PV arithmetic; segmented per image</t>
        </is>
      </c>
      <c r="F20" s="7" t="inlineStr">
        <is>
          <t xml:space="preserve">row-sharded + reduce</t>
        </is>
      </c>
      <c r="G20" s="7" t="inlineStr">
        <is>
          <t xml:space="preserve">GELU MLP fc1</t>
        </is>
      </c>
      <c r="H20" s="7" t="inlineStr">
        <is>
          <t xml:space="preserve">MLP fc2 + reduce</t>
        </is>
      </c>
      <c r="I20" s="7" t="inlineStr">
        <is>
          <t xml:space="preserve">2×2 spatial merge; aggregate M=98</t>
        </is>
      </c>
      <c r="J20" s="7" t="inlineStr">
        <is>
          <t xml:space="preserve">merged output enters text hidden=2048</t>
        </is>
      </c>
      <c r="K20" s="7" t="inlineStr">
        <is>
          <t xml:space="preserve">physical b/a N_bg=128; logical table width=8224</t>
        </is>
      </c>
      <c r="L20" s="7" t="inlineStr">
        <is>
          <t xml:space="preserve">FP16 conv weights; separate non-GEMM kernel</t>
        </is>
      </c>
      <c r="M20" s="7" t="inlineStr">
        <is>
          <t xml:space="preserve">per-core critical-path proxy; chip aggregate is approximately ×8; not in strict FLOP total</t>
        </is>
      </c>
      <c r="N20" s="7" t="inlineStr">
        <is>
          <t xml:space="preserve">row-sharded + all-reduce</t>
        </is>
      </c>
      <c r="O20" s="7" t="inlineStr">
        <is>
          <t xml:space="preserve">SwiGLU gate/up pair</t>
        </is>
      </c>
      <c r="P20" s="7" t="inlineStr">
        <is>
          <t xml:space="preserve">MLP down + all-reduce</t>
        </is>
      </c>
      <c r="Q20" s="7" t="inlineStr">
        <is>
          <t xml:space="preserve">physical effective KV heads=8</t>
        </is>
      </c>
      <c r="R20" s="7" t="inlineStr">
        <is>
          <t xml:space="preserve">rectangular QK+PV upper arithmetic; causal mask not discounted</t>
        </is>
      </c>
      <c r="S20" s="7" t="inlineStr">
        <is>
          <t xml:space="preserve">row-sharded + all-reduce</t>
        </is>
      </c>
      <c r="T20" s="7" t="inlineStr">
        <is>
          <t xml:space="preserve">SwiGLU gate/up pair</t>
        </is>
      </c>
      <c r="U20" s="7" t="inlineStr">
        <is>
          <t xml:space="preserve">MLP down + all-reduce</t>
        </is>
      </c>
      <c r="V20" s="7" t="inlineStr">
        <is>
          <t xml:space="preserve">identity mixer: no linear-attention/GDN GEMM</t>
        </is>
      </c>
      <c r="W20" s="7" t="inlineStr">
        <is>
          <t xml:space="preserve">ACC32 tiled FP16 linear</t>
        </is>
      </c>
      <c r="X20" s="7" t="inlineStr">
        <is>
          <t xml:space="preserve">ACC32 tiled FP16 linear</t>
        </is>
      </c>
      <c r="Y20" s="7" t="inlineStr">
        <is>
          <t xml:space="preserve">physical q/gate/k/v each N=2048</t>
        </is>
      </c>
      <c r="Z20" s="7" t="inlineStr">
        <is>
          <t xml:space="preserve">prefix length is semantic; bucket only fixes graph shape</t>
        </is>
      </c>
      <c r="AA20" s="7" t="inlineStr">
        <is>
          <t xml:space="preserve">row-sharded</t>
        </is>
      </c>
      <c r="AB20" s="7" t="inlineStr">
        <is>
          <t xml:space="preserve">SwiGLU gate/up pair</t>
        </is>
      </c>
      <c r="AC20" s="7" t="inlineStr">
        <is>
          <t xml:space="preserve">MLP down</t>
        </is>
      </c>
      <c r="AD20" s="7" t="inlineStr">
        <is>
          <t xml:space="preserve">不含激活/KV/host/launch；见‘口径与证据’。</t>
        </is>
      </c>
    </row>
    <row r="21" ht="22" customHeight="1">
      <c r="A21" s="5" t="inlineStr">
        <is>
          <t xml:space="preserve">bound type</t>
        </is>
      </c>
      <c r="B21" s="6" t="inlineStr">
        <is>
          <t xml:space="preserve">按阶段汇总 B3/B4/B5 的 roofline；仅表示 modeled floor</t>
        </is>
      </c>
      <c r="C21" s="10" t="str">
        <f>IF(OR(NOT(ISNUMBER('阶段汇总'!$B$3)),NOT(ISNUMBER('阶段汇总'!$B$4)),NOT(ISNUMBER('阶段汇总'!$B$5))),"待校准",IF('阶段汇总'!$B$5&gt;=MAX(IF(ISNUMBER(C17),C17,0),IF(ISNUMBER(C18),C18,0)),"launch",IF(IF(ISNUMBER(C17),C17,0)&gt;=IF(ISNUMBER(C18),C18,0),"compute","memory")))</f>
        <v>memory</v>
      </c>
      <c r="D21" s="10" t="str">
        <f>IF(OR(NOT(ISNUMBER('阶段汇总'!$B$3)),NOT(ISNUMBER('阶段汇总'!$B$4)),NOT(ISNUMBER('阶段汇总'!$B$5))),"待校准",IF('阶段汇总'!$B$5&gt;=MAX(IF(ISNUMBER(D17),D17,0),IF(ISNUMBER(D18),D18,0)),"launch",IF(IF(ISNUMBER(D17),D17,0)&gt;=IF(ISNUMBER(D18),D18,0),"compute","memory")))</f>
        <v>memory</v>
      </c>
      <c r="E21" s="10" t="str">
        <f>IF(OR(NOT(ISNUMBER('阶段汇总'!$B$3)),NOT(ISNUMBER('阶段汇总'!$B$4)),NOT(ISNUMBER('阶段汇总'!$B$5))),"待校准",IF('阶段汇总'!$B$5&gt;=MAX(IF(ISNUMBER(E17),E17,0),IF(ISNUMBER(E18),E18,0)),"launch",IF(IF(ISNUMBER(E17),E17,0)&gt;=IF(ISNUMBER(E18),E18,0),"compute","memory")))</f>
        <v>compute</v>
      </c>
      <c r="F21" s="10" t="str">
        <f>IF(OR(NOT(ISNUMBER('阶段汇总'!$B$3)),NOT(ISNUMBER('阶段汇总'!$B$4)),NOT(ISNUMBER('阶段汇总'!$B$5))),"待校准",IF('阶段汇总'!$B$5&gt;=MAX(IF(ISNUMBER(F17),F17,0),IF(ISNUMBER(F18),F18,0)),"launch",IF(IF(ISNUMBER(F17),F17,0)&gt;=IF(ISNUMBER(F18),F18,0),"compute","memory")))</f>
        <v>memory</v>
      </c>
      <c r="G21" s="10" t="str">
        <f>IF(OR(NOT(ISNUMBER('阶段汇总'!$B$3)),NOT(ISNUMBER('阶段汇总'!$B$4)),NOT(ISNUMBER('阶段汇总'!$B$5))),"待校准",IF('阶段汇总'!$B$5&gt;=MAX(IF(ISNUMBER(G17),G17,0),IF(ISNUMBER(G18),G18,0)),"launch",IF(IF(ISNUMBER(G17),G17,0)&gt;=IF(ISNUMBER(G18),G18,0),"compute","memory")))</f>
        <v>memory</v>
      </c>
      <c r="H21" s="10" t="str">
        <f>IF(OR(NOT(ISNUMBER('阶段汇总'!$B$3)),NOT(ISNUMBER('阶段汇总'!$B$4)),NOT(ISNUMBER('阶段汇总'!$B$5))),"待校准",IF('阶段汇总'!$B$5&gt;=MAX(IF(ISNUMBER(H17),H17,0),IF(ISNUMBER(H18),H18,0)),"launch",IF(IF(ISNUMBER(H17),H17,0)&gt;=IF(ISNUMBER(H18),H18,0),"compute","memory")))</f>
        <v>memory</v>
      </c>
      <c r="I21" s="10" t="str">
        <f>IF(OR(NOT(ISNUMBER('阶段汇总'!$B$3)),NOT(ISNUMBER('阶段汇总'!$B$4)),NOT(ISNUMBER('阶段汇总'!$B$5))),"待校准",IF('阶段汇总'!$B$5&gt;=MAX(IF(ISNUMBER(I17),I17,0),IF(ISNUMBER(I18),I18,0)),"launch",IF(IF(ISNUMBER(I17),I17,0)&gt;=IF(ISNUMBER(I18),I18,0),"compute","memory")))</f>
        <v>memory</v>
      </c>
      <c r="J21" s="10" t="str">
        <f>IF(OR(NOT(ISNUMBER('阶段汇总'!$B$3)),NOT(ISNUMBER('阶段汇总'!$B$4)),NOT(ISNUMBER('阶段汇总'!$B$5))),"待校准",IF('阶段汇总'!$B$5&gt;=MAX(IF(ISNUMBER(J17),J17,0),IF(ISNUMBER(J18),J18,0)),"launch",IF(IF(ISNUMBER(J17),J17,0)&gt;=IF(ISNUMBER(J18),J18,0),"compute","memory")))</f>
        <v>memory</v>
      </c>
      <c r="K21" s="10" t="str">
        <f>IF(OR(NOT(ISNUMBER('阶段汇总'!$B$3)),NOT(ISNUMBER('阶段汇总'!$B$4)),NOT(ISNUMBER('阶段汇总'!$B$5))),"待校准",IF('阶段汇总'!$B$5&gt;=MAX(IF(ISNUMBER(K17),K17,0),IF(ISNUMBER(K18),K18,0)),"launch",IF(IF(ISNUMBER(K17),K17,0)&gt;=IF(ISNUMBER(K18),K18,0),"compute","memory")))</f>
        <v>memory</v>
      </c>
      <c r="L21" s="10" t="str">
        <f>IF(OR(NOT(ISNUMBER('阶段汇总'!$B$3)),NOT(ISNUMBER('阶段汇总'!$B$4)),NOT(ISNUMBER('阶段汇总'!$B$5))),"待校准",IF('阶段汇总'!$B$5&gt;=MAX(IF(ISNUMBER(L17),L17,0),IF(ISNUMBER(L18),L18,0)),"launch",IF(IF(ISNUMBER(L17),L17,0)&gt;=IF(ISNUMBER(L18),L18,0),"compute","memory")))</f>
        <v>memory</v>
      </c>
      <c r="M21" s="10" t="inlineStr">
        <is>
          <t xml:space="preserve">N/A</t>
        </is>
      </c>
      <c r="N21" s="10" t="str">
        <f>IF(OR(NOT(ISNUMBER('阶段汇总'!$B$3)),NOT(ISNUMBER('阶段汇总'!$B$4)),NOT(ISNUMBER('阶段汇总'!$B$5))),"待校准",IF('阶段汇总'!$B$5&gt;=MAX(IF(ISNUMBER(N17),N17,0),IF(ISNUMBER(N18),N18,0)),"launch",IF(IF(ISNUMBER(N17),N17,0)&gt;=IF(ISNUMBER(N18),N18,0),"compute","memory")))</f>
        <v>memory</v>
      </c>
      <c r="O21" s="10" t="str">
        <f>IF(OR(NOT(ISNUMBER('阶段汇总'!$B$3)),NOT(ISNUMBER('阶段汇总'!$B$4)),NOT(ISNUMBER('阶段汇总'!$B$5))),"待校准",IF('阶段汇总'!$B$5&gt;=MAX(IF(ISNUMBER(O17),O17,0),IF(ISNUMBER(O18),O18,0)),"launch",IF(IF(ISNUMBER(O17),O17,0)&gt;=IF(ISNUMBER(O18),O18,0),"compute","memory")))</f>
        <v>memory</v>
      </c>
      <c r="P21" s="10" t="str">
        <f>IF(OR(NOT(ISNUMBER('阶段汇总'!$B$3)),NOT(ISNUMBER('阶段汇总'!$B$4)),NOT(ISNUMBER('阶段汇总'!$B$5))),"待校准",IF('阶段汇总'!$B$5&gt;=MAX(IF(ISNUMBER(P17),P17,0),IF(ISNUMBER(P18),P18,0)),"launch",IF(IF(ISNUMBER(P17),P17,0)&gt;=IF(ISNUMBER(P18),P18,0),"compute","memory")))</f>
        <v>memory</v>
      </c>
      <c r="Q21" s="10" t="str">
        <f>IF(OR(NOT(ISNUMBER('阶段汇总'!$B$3)),NOT(ISNUMBER('阶段汇总'!$B$4)),NOT(ISNUMBER('阶段汇总'!$B$5))),"待校准",IF('阶段汇总'!$B$5&gt;=MAX(IF(ISNUMBER(Q17),Q17,0),IF(ISNUMBER(Q18),Q18,0)),"launch",IF(IF(ISNUMBER(Q17),Q17,0)&gt;=IF(ISNUMBER(Q18),Q18,0),"compute","memory")))</f>
        <v>memory</v>
      </c>
      <c r="R21" s="10" t="str">
        <f>IF(OR(NOT(ISNUMBER('阶段汇总'!$B$3)),NOT(ISNUMBER('阶段汇总'!$B$4)),NOT(ISNUMBER('阶段汇总'!$B$5))),"待校准",IF('阶段汇总'!$B$5&gt;=MAX(IF(ISNUMBER(R17),R17,0),IF(ISNUMBER(R18),R18,0)),"launch",IF(IF(ISNUMBER(R17),R17,0)&gt;=IF(ISNUMBER(R18),R18,0),"compute","memory")))</f>
        <v>compute</v>
      </c>
      <c r="S21" s="10" t="str">
        <f>IF(OR(NOT(ISNUMBER('阶段汇总'!$B$3)),NOT(ISNUMBER('阶段汇总'!$B$4)),NOT(ISNUMBER('阶段汇总'!$B$5))),"待校准",IF('阶段汇总'!$B$5&gt;=MAX(IF(ISNUMBER(S17),S17,0),IF(ISNUMBER(S18),S18,0)),"launch",IF(IF(ISNUMBER(S17),S17,0)&gt;=IF(ISNUMBER(S18),S18,0),"compute","memory")))</f>
        <v>memory</v>
      </c>
      <c r="T21" s="10" t="str">
        <f>IF(OR(NOT(ISNUMBER('阶段汇总'!$B$3)),NOT(ISNUMBER('阶段汇总'!$B$4)),NOT(ISNUMBER('阶段汇总'!$B$5))),"待校准",IF('阶段汇总'!$B$5&gt;=MAX(IF(ISNUMBER(T17),T17,0),IF(ISNUMBER(T18),T18,0)),"launch",IF(IF(ISNUMBER(T17),T17,0)&gt;=IF(ISNUMBER(T18),T18,0),"compute","memory")))</f>
        <v>memory</v>
      </c>
      <c r="U21" s="10" t="str">
        <f>IF(OR(NOT(ISNUMBER('阶段汇总'!$B$3)),NOT(ISNUMBER('阶段汇总'!$B$4)),NOT(ISNUMBER('阶段汇总'!$B$5))),"待校准",IF('阶段汇总'!$B$5&gt;=MAX(IF(ISNUMBER(U17),U17,0),IF(ISNUMBER(U18),U18,0)),"launch",IF(IF(ISNUMBER(U17),U17,0)&gt;=IF(ISNUMBER(U18),U18,0),"compute","memory")))</f>
        <v>memory</v>
      </c>
      <c r="V21" s="10" t="inlineStr">
        <is>
          <t xml:space="preserve">N/A</t>
        </is>
      </c>
      <c r="W21" s="10" t="str">
        <f>IF(OR(NOT(ISNUMBER('阶段汇总'!$B$3)),NOT(ISNUMBER('阶段汇总'!$B$4)),NOT(ISNUMBER('阶段汇总'!$B$5))),"待校准",IF('阶段汇总'!$B$5&gt;=MAX(IF(ISNUMBER(W17),W17,0),IF(ISNUMBER(W18),W18,0)),"launch",IF(IF(ISNUMBER(W17),W17,0)&gt;=IF(ISNUMBER(W18),W18,0),"compute","memory")))</f>
        <v>memory</v>
      </c>
      <c r="X21" s="10" t="str">
        <f>IF(OR(NOT(ISNUMBER('阶段汇总'!$B$3)),NOT(ISNUMBER('阶段汇总'!$B$4)),NOT(ISNUMBER('阶段汇总'!$B$5))),"待校准",IF('阶段汇总'!$B$5&gt;=MAX(IF(ISNUMBER(X17),X17,0),IF(ISNUMBER(X18),X18,0)),"launch",IF(IF(ISNUMBER(X17),X17,0)&gt;=IF(ISNUMBER(X18),X18,0),"compute","memory")))</f>
        <v>memory</v>
      </c>
      <c r="Y21" s="10" t="str">
        <f>IF(OR(NOT(ISNUMBER('阶段汇总'!$B$3)),NOT(ISNUMBER('阶段汇总'!$B$4)),NOT(ISNUMBER('阶段汇总'!$B$5))),"待校准",IF('阶段汇总'!$B$5&gt;=MAX(IF(ISNUMBER(Y17),Y17,0),IF(ISNUMBER(Y18),Y18,0)),"launch",IF(IF(ISNUMBER(Y17),Y17,0)&gt;=IF(ISNUMBER(Y18),Y18,0),"compute","memory")))</f>
        <v>memory</v>
      </c>
      <c r="Z21" s="10" t="str">
        <f>IF(OR(NOT(ISNUMBER('阶段汇总'!$B$3)),NOT(ISNUMBER('阶段汇总'!$B$4)),NOT(ISNUMBER('阶段汇总'!$B$5))),"待校准",IF('阶段汇总'!$B$5&gt;=MAX(IF(ISNUMBER(Z17),Z17,0),IF(ISNUMBER(Z18),Z18,0)),"launch",IF(IF(ISNUMBER(Z17),Z17,0)&gt;=IF(ISNUMBER(Z18),Z18,0),"compute","memory")))</f>
        <v>compute</v>
      </c>
      <c r="AA21" s="10" t="str">
        <f>IF(OR(NOT(ISNUMBER('阶段汇总'!$B$3)),NOT(ISNUMBER('阶段汇总'!$B$4)),NOT(ISNUMBER('阶段汇总'!$B$5))),"待校准",IF('阶段汇总'!$B$5&gt;=MAX(IF(ISNUMBER(AA17),AA17,0),IF(ISNUMBER(AA18),AA18,0)),"launch",IF(IF(ISNUMBER(AA17),AA17,0)&gt;=IF(ISNUMBER(AA18),AA18,0),"compute","memory")))</f>
        <v>memory</v>
      </c>
      <c r="AB21" s="10" t="str">
        <f>IF(OR(NOT(ISNUMBER('阶段汇总'!$B$3)),NOT(ISNUMBER('阶段汇总'!$B$4)),NOT(ISNUMBER('阶段汇总'!$B$5))),"待校准",IF('阶段汇总'!$B$5&gt;=MAX(IF(ISNUMBER(AB17),AB17,0),IF(ISNUMBER(AB18),AB18,0)),"launch",IF(IF(ISNUMBER(AB17),AB17,0)&gt;=IF(ISNUMBER(AB18),AB18,0),"compute","memory")))</f>
        <v>memory</v>
      </c>
      <c r="AC21" s="10" t="str">
        <f>IF(OR(NOT(ISNUMBER('阶段汇总'!$B$3)),NOT(ISNUMBER('阶段汇总'!$B$4)),NOT(ISNUMBER('阶段汇总'!$B$5))),"待校准",IF('阶段汇总'!$B$5&gt;=MAX(IF(ISNUMBER(AC17),AC17,0),IF(ISNUMBER(AC18),AC18,0)),"launch",IF(IF(ISNUMBER(AC17),AC17,0)&gt;=IF(ISNUMBER(AC18),AC18,0),"compute","memory")))</f>
        <v>memory</v>
      </c>
      <c r="AD21" s="10" t="str">
        <f>IF(OR(NOT(ISNUMBER('阶段汇总'!$B$3)),NOT(ISNUMBER('阶段汇总'!$B$4)),NOT(ISNUMBER('阶段汇总'!$B$5))),"待校准",IF('阶段汇总'!$B$5&gt;=MAX(IF(ISNUMBER(AD17),AD17,0),IF(ISNUMBER(AD18),AD18,0)),"launch",IF(IF(ISNUMBER(AD17),AD17,0)&gt;=IF(ISNUMBER(AD18),AD18,0),"compute","memory")))</f>
        <v>memory</v>
      </c>
    </row>
  </sheetData>
  <mergeCells count="10">
    <mergeCell ref="A1:AD1"/>
    <mergeCell ref="A2:AD2"/>
    <mergeCell ref="A3:AD3"/>
    <mergeCell ref="A4:AD4"/>
    <mergeCell ref="C6:J6"/>
    <mergeCell ref="K6:P6"/>
    <mergeCell ref="Q6:U6"/>
    <mergeCell ref="V6:X6"/>
    <mergeCell ref="Y6:AC6"/>
    <mergeCell ref="AD6:AD6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M28"/>
  <sheetViews>
    <sheetView workbookViewId="0" showGridLines="1">
      <pane xSplit="0" ySplit="9" topLeftCell="A10" activePane="bottomRight" state="frozen"/>
    </sheetView>
  </sheetViews>
  <cols>
    <col min="1" max="1" width="18" customWidth="1"/>
    <col min="2" max="2" width="26" customWidth="1"/>
    <col min="3" max="3" width="16" customWidth="1"/>
    <col min="4" max="4" width="18" customWidth="1"/>
    <col min="5" max="5" width="18" customWidth="1"/>
    <col min="6" max="6" width="15" customWidth="1"/>
    <col min="7" max="7" width="18" customWidth="1"/>
    <col min="8" max="8" width="20" customWidth="1"/>
    <col min="9" max="9" width="18" customWidth="1"/>
    <col min="10" max="10" width="18" customWidth="1"/>
    <col min="11" max="11" width="18" customWidth="1"/>
    <col min="12" max="12" width="18" customWidth="1"/>
    <col min="13" max="13" width="52" customWidth="1"/>
  </cols>
  <sheetData>
    <row r="1" ht="22" customHeight="1">
      <c r="A1" s="1" t="inlineStr">
        <is>
          <t xml:space="preserve">Wall Qwen3.5 · RPU 阶段汇总与参数化 roofline</t>
        </is>
      </c>
    </row>
    <row r="2" ht="30" customHeight="1">
      <c r="A2" s="2" t="inlineStr">
        <is>
          <t xml:space="preserve">可编辑情景参数 B3=100 TFLOP/s、B4=140 GB/s（十进制）；B3=100 对应 100 TOPS 按 2 operations/MAC，若规格按 1 operation/MAC 则填 200。历史观测不是发布认证；Action ACC32 pure-GEMM 面板单列。</t>
        </is>
      </c>
    </row>
    <row r="3" ht="22" customHeight="1">
      <c r="A3" s="5" t="inlineStr">
        <is>
          <t xml:space="preserve">P_RPU_FP16 情景值 (TFLOP/s；2 FLOP/MAC账本)</t>
        </is>
      </c>
      <c r="B3" s="12">
        <v>100</v>
      </c>
    </row>
    <row r="4" ht="22" customHeight="1">
      <c r="A4" s="5" t="inlineStr">
        <is>
          <t xml:space="preserve">BW_RPU_DDR (GB/s, 十进制)</t>
        </is>
      </c>
      <c r="B4" s="12">
        <v>140</v>
      </c>
    </row>
    <row r="5" ht="22" customHeight="1">
      <c r="A5" s="5" t="inlineStr">
        <is>
          <t xml:space="preserve">L_launch/replay floor (ms; 理想化)</t>
        </is>
      </c>
      <c r="B5" s="12">
        <v>0</v>
      </c>
    </row>
    <row r="6" ht="30" customHeight="1">
      <c r="A6" s="5" t="inlineStr">
        <is>
          <t xml:space="preserve">公式</t>
        </is>
      </c>
      <c r="B6" s="6" t="inlineStr">
        <is>
          <t xml:space="preserve">Tcomp=F_MiFLOP×2^20/(P_TFLOPS×10^12)×1000；Tmem=Bytes_MiB×2^20/(BW_GB/s×10^9)×1000；Tfloor=max(Tcomp,Tmem,Llaunch)。当前 Llaunch=0 仅表示理想化下限。</t>
        </is>
      </c>
    </row>
    <row r="7" ht="22" customHeight="1"/>
    <row r="8" ht="22" customHeight="1"/>
    <row r="9" ht="30" customHeight="1">
      <c r="A9" s="4" t="inlineStr">
        <is>
          <t xml:space="preserve">阶段</t>
        </is>
      </c>
      <c r="B9" s="4" t="inlineStr">
        <is>
          <t xml:space="preserve">profile</t>
        </is>
      </c>
      <c r="C9" s="4" t="inlineStr">
        <is>
          <t xml:space="preserve">严格 FLOPs
MiFLOP</t>
        </is>
      </c>
      <c r="D9" s="4" t="inlineStr">
        <is>
          <t xml:space="preserve">假设 weight-stream proxy
MiB</t>
        </is>
      </c>
      <c r="E9" s="4" t="inlineStr">
        <is>
          <t xml:space="preserve">逻辑权重流量
MiB</t>
        </is>
      </c>
      <c r="F9" s="4" t="inlineStr">
        <is>
          <t xml:space="preserve">显式 DMA
MiB</t>
        </is>
      </c>
      <c r="G9" s="4" t="inlineStr">
        <is>
          <t xml:space="preserve">HWPerf span/proxy
ms</t>
        </is>
      </c>
      <c r="H9" s="4" t="inlineStr">
        <is>
          <t xml:space="preserve">Profiler CPU scope
ms</t>
        </is>
      </c>
      <c r="I9" s="4" t="inlineStr">
        <is>
          <t xml:space="preserve">已知FLOP有效
TFLOP/s*</t>
        </is>
      </c>
      <c r="J9" s="4" t="inlineStr">
        <is>
          <t xml:space="preserve">隐含权重流
GiB/s*</t>
        </is>
      </c>
      <c r="K9" s="4" t="inlineStr">
        <is>
          <t xml:space="preserve">Roofline下限
ms (L=0)</t>
        </is>
      </c>
      <c r="L9" s="4" t="inlineStr">
        <is>
          <t xml:space="preserve">状态</t>
        </is>
      </c>
      <c r="M9" s="4" t="inlineStr">
        <is>
          <t xml:space="preserve">备注</t>
        </is>
      </c>
    </row>
    <row r="10" ht="22" customHeight="1">
      <c r="A10" s="5" t="inlineStr">
        <is>
          <t xml:space="preserve">Vision</t>
        </is>
      </c>
      <c r="B10" s="5" t="inlineStr">
        <is>
          <t xml:space="preserve">observed 3图 (112+140+140)</t>
        </is>
      </c>
      <c r="C10" s="15">
        <v>236523</v>
      </c>
      <c r="D10" s="15">
        <v>1881</v>
      </c>
      <c r="E10" s="15">
        <v>1881</v>
      </c>
      <c r="F10" s="15">
        <v>78.439</v>
      </c>
      <c r="G10" s="15">
        <v>30.137669</v>
      </c>
      <c r="H10" s="15">
        <v>41.593907</v>
      </c>
      <c r="I10" s="16">
        <v>8.22931399399</v>
      </c>
      <c r="J10" s="16">
        <v>60.9507677087</v>
      </c>
      <c r="K10" s="10">
        <f>IF(OR(NOT(ISNUMBER($B$3)),NOT(ISNUMBER($B$4)),NOT(ISNUMBER($B$5))),"待校准",MAX(236523*1048576/(B3*1e12)*1000,1881*1048576/(B4*1000000000)*1000,B5))</f>
        <v>14.0883675429</v>
      </c>
      <c r="L10" s="5" t="inlineStr">
        <is>
          <t xml:space="preserve">HWPerf诊断</t>
        </is>
      </c>
      <c r="M10" s="7" t="inlineStr">
        <is>
          <t xml:space="preserve">face BUILD + wrist BUILD/REPLAY proxy；3 calls / 2 retained signatures</t>
        </is>
      </c>
    </row>
    <row r="11" ht="22" customHeight="1">
      <c r="A11" s="5" t="inlineStr">
        <is>
          <t xml:space="preserve">Text prefill</t>
        </is>
      </c>
      <c r="B11" s="5" t="inlineStr">
        <is>
          <t xml:space="preserve">observed real308→bucket320</t>
        </is>
      </c>
      <c r="C11" s="15">
        <v>869454</v>
      </c>
      <c r="D11" s="15">
        <v>8120.53125</v>
      </c>
      <c r="E11" s="15">
        <v>7857.28125</v>
      </c>
      <c r="F11" s="15">
        <v>341.166</v>
      </c>
      <c r="G11" s="15">
        <v>98.662602</v>
      </c>
      <c r="H11" s="15">
        <v>143.858599</v>
      </c>
      <c r="I11" s="16">
        <v>9.24046780668</v>
      </c>
      <c r="J11" s="16">
        <v>80.3770236956</v>
      </c>
      <c r="K11" s="10">
        <f>IF(OR(NOT(ISNUMBER($B$3)),NOT(ISNUMBER($B$4)),NOT(ISNUMBER($B$5))),"待校准",MAX(869454*1048576/(B3*1e12)*1000,8120.53125*1048576/(B4*1000000000)*1000,B5))</f>
        <v>60.8213869714</v>
      </c>
      <c r="L11" s="5" t="inlineStr">
        <is>
          <t xml:space="preserve">历史oneshot诊断</t>
        </is>
      </c>
      <c r="M11" s="7" t="inlineStr">
        <is>
          <t xml:space="preserve">3 segments=128/128/64；当前source已规划retained bucket；补充GDN-BMM估算=1980 MiFLOP（每核 critical-path proxy；芯片聚合约×8）</t>
        </is>
      </c>
    </row>
    <row r="12" ht="22" customHeight="1">
      <c r="A12" s="5" t="inlineStr">
        <is>
          <t xml:space="preserve">Action decoder</t>
        </is>
      </c>
      <c r="B12" s="5" t="inlineStr">
        <is>
          <t xml:space="preserve">observed prefix308, 10 steps</t>
        </is>
      </c>
      <c r="C12" s="15">
        <v>135660</v>
      </c>
      <c r="D12" s="15">
        <v>4080</v>
      </c>
      <c r="E12" s="15">
        <v>3720</v>
      </c>
      <c r="F12" s="15">
        <v>38.125</v>
      </c>
      <c r="G12" s="15">
        <v>51.192582</v>
      </c>
      <c r="H12" s="15">
        <v>124.064282</v>
      </c>
      <c r="I12" s="16">
        <v>2.77871938868</v>
      </c>
      <c r="J12" s="16">
        <v>77.8311006075</v>
      </c>
      <c r="K12" s="10">
        <f>IF(OR(NOT(ISNUMBER($B$3)),NOT(ISNUMBER($B$4)),NOT(ISNUMBER($B$5))),"待校准",MAX(135660*1048576/(B3*1e12)*1000,4080*1048576/(B4*1000000000)*1000,B5))</f>
        <v>30.5585005714</v>
      </c>
      <c r="L12" s="5" t="inlineStr">
        <is>
          <t xml:space="preserve">HWPerf诊断</t>
        </is>
      </c>
      <c r="M12" s="7" t="inlineStr">
        <is>
          <t xml:space="preserve">1 BUILD+9 REPLAY；identity18/full6；ACC32</t>
        </is>
      </c>
    </row>
    <row r="13" ht="30" customHeight="1">
      <c r="A13" s="5" t="inlineStr">
        <is>
          <t xml:space="preserve">设备侧合计</t>
        </is>
      </c>
      <c r="B13" s="5" t="inlineStr">
        <is>
          <t xml:space="preserve">observed diagnostic sum</t>
        </is>
      </c>
      <c r="C13" s="15">
        <v>1241637</v>
      </c>
      <c r="D13" s="15">
        <v>14081.53125</v>
      </c>
      <c r="E13" s="15">
        <v>13458.28125</v>
      </c>
      <c r="F13" s="15">
        <v>457.73</v>
      </c>
      <c r="G13" s="15">
        <v>179.992853</v>
      </c>
      <c r="H13" s="5" t="inlineStr">
        <is>
          <t xml:space="preserve">—</t>
        </is>
      </c>
      <c r="I13" s="16">
        <v>7.23334697579</v>
      </c>
      <c r="J13" s="16">
        <v>76.4002299654</v>
      </c>
      <c r="K13" s="10">
        <f>IF(OR(NOT(ISNUMBER($B$3)),NOT(ISNUMBER($B$4)),NOT(ISNUMBER($B$5))),"待校准",MAX(1241637*1048576/(B3*1e12)*1000,14081.53125*1048576/(B4*1000000000)*1000,B5))</f>
        <v>105.468255086</v>
      </c>
      <c r="L13" s="5" t="inlineStr">
        <is>
          <t xml:space="preserve">不可发布</t>
        </is>
      </c>
      <c r="M13" s="7" t="inlineStr">
        <is>
          <t xml:space="preserve">三段相加只是设备critical-path proxy，不等于端到端</t>
        </is>
      </c>
    </row>
    <row r="14" ht="22" customHeight="1">
      <c r="A14" s="5" t="inlineStr">
        <is>
          <t xml:space="preserve">完整 public API</t>
        </is>
      </c>
      <c r="B14" s="5" t="inlineStr">
        <is>
          <t xml:space="preserve">latest profiler ready_replay</t>
        </is>
      </c>
      <c r="C14" s="5" t="inlineStr">
        <is>
          <t xml:space="preserve">—</t>
        </is>
      </c>
      <c r="D14" s="5" t="inlineStr">
        <is>
          <t xml:space="preserve">—</t>
        </is>
      </c>
      <c r="E14" s="5" t="inlineStr">
        <is>
          <t xml:space="preserve">—</t>
        </is>
      </c>
      <c r="F14" s="5" t="inlineStr">
        <is>
          <t xml:space="preserve">—</t>
        </is>
      </c>
      <c r="G14" s="5" t="inlineStr">
        <is>
          <t xml:space="preserve">—</t>
        </is>
      </c>
      <c r="H14" s="15">
        <v>445.670772</v>
      </c>
      <c r="I14" s="5" t="inlineStr">
        <is>
          <t xml:space="preserve">—</t>
        </is>
      </c>
      <c r="J14" s="5" t="inlineStr">
        <is>
          <t xml:space="preserve">—</t>
        </is>
      </c>
      <c r="K14" s="10" t="inlineStr">
        <is>
          <t xml:space="preserve">N/A</t>
        </is>
      </c>
      <c r="L14" s="5" t="inlineStr">
        <is>
          <t xml:space="preserve">Profiler-only</t>
        </is>
      </c>
      <c r="M14" s="7" t="inlineStr">
        <is>
          <t xml:space="preserve">历史淘汰候选 full API CPU scope≈445.671ms；无不可变 source receipt；非当前证据</t>
        </is>
      </c>
    </row>
    <row r="15" ht="22" customHeight="1">
      <c r="A15" s="5" t="inlineStr">
        <is>
          <t xml:space="preserve">未归因 host/调度</t>
        </is>
      </c>
      <c r="B15" s="5" t="inlineStr">
        <is>
          <t xml:space="preserve">full API − device proxy (diagnostic)</t>
        </is>
      </c>
      <c r="C15" s="5" t="inlineStr">
        <is>
          <t xml:space="preserve">—</t>
        </is>
      </c>
      <c r="D15" s="5" t="inlineStr">
        <is>
          <t xml:space="preserve">—</t>
        </is>
      </c>
      <c r="E15" s="5" t="inlineStr">
        <is>
          <t xml:space="preserve">—</t>
        </is>
      </c>
      <c r="F15" s="5" t="inlineStr">
        <is>
          <t xml:space="preserve">—</t>
        </is>
      </c>
      <c r="G15" s="5" t="inlineStr">
        <is>
          <t xml:space="preserve">—</t>
        </is>
      </c>
      <c r="H15" s="15">
        <v>265.677919</v>
      </c>
      <c r="I15" s="5" t="inlineStr">
        <is>
          <t xml:space="preserve">—</t>
        </is>
      </c>
      <c r="J15" s="5" t="inlineStr">
        <is>
          <t xml:space="preserve">—</t>
        </is>
      </c>
      <c r="K15" s="10" t="inlineStr">
        <is>
          <t xml:space="preserve">N/A</t>
        </is>
      </c>
      <c r="L15" s="5" t="inlineStr">
        <is>
          <t xml:space="preserve">不可发布</t>
        </is>
      </c>
      <c r="M15" s="7" t="inlineStr">
        <is>
          <t xml:space="preserve">差值仅作诊断，不用于扣减/宣称上限</t>
        </is>
      </c>
    </row>
    <row r="16" ht="22" customHeight="1"/>
    <row r="17" ht="22" customHeight="1">
      <c r="A17" s="5" t="inlineStr">
        <is>
          <t xml:space="preserve">Vision</t>
        </is>
      </c>
      <c r="B17" s="5" t="inlineStr">
        <is>
          <t xml:space="preserve">max admitted 3图</t>
        </is>
      </c>
      <c r="C17" s="15">
        <v>236523</v>
      </c>
      <c r="D17" s="15">
        <v>1881</v>
      </c>
      <c r="E17" s="15">
        <v>1881</v>
      </c>
      <c r="F17" s="5" t="inlineStr">
        <is>
          <t xml:space="preserve">—</t>
        </is>
      </c>
      <c r="G17" s="5" t="inlineStr">
        <is>
          <t xml:space="preserve">—</t>
        </is>
      </c>
      <c r="H17" s="5" t="inlineStr">
        <is>
          <t xml:space="preserve">—</t>
        </is>
      </c>
      <c r="I17" s="5" t="inlineStr">
        <is>
          <t xml:space="preserve">—</t>
        </is>
      </c>
      <c r="J17" s="5" t="inlineStr">
        <is>
          <t xml:space="preserve">—</t>
        </is>
      </c>
      <c r="K17" s="10">
        <f>IF(OR(NOT(ISNUMBER($B$3)),NOT(ISNUMBER($B$4)),NOT(ISNUMBER($B$5))),"待校准",MAX(236523*1048576/(B3*1e12)*1000,1881*1048576/(B4*1000000000)*1000,B5))</f>
        <v>14.0883675429</v>
      </c>
      <c r="L17" s="13" t="inlineStr">
        <is>
          <t xml:space="preserve">参数化下限</t>
        </is>
      </c>
      <c r="M17" s="7" t="inlineStr">
        <is>
          <t xml:space="preserve">固定392 patch tokens；STEP0+merger included；Llaunch=0 理想化</t>
        </is>
      </c>
    </row>
    <row r="18" ht="22" customHeight="1">
      <c r="A18" s="5" t="inlineStr">
        <is>
          <t xml:space="preserve">Text prefill</t>
        </is>
      </c>
      <c r="B18" s="5" t="inlineStr">
        <is>
          <t xml:space="preserve">max real384→bucket384</t>
        </is>
      </c>
      <c r="C18" s="15">
        <v>1044036</v>
      </c>
      <c r="D18" s="15">
        <v>8120.53125</v>
      </c>
      <c r="E18" s="15">
        <v>7857.28125</v>
      </c>
      <c r="F18" s="5" t="inlineStr">
        <is>
          <t xml:space="preserve">—</t>
        </is>
      </c>
      <c r="G18" s="5" t="inlineStr">
        <is>
          <t xml:space="preserve">—</t>
        </is>
      </c>
      <c r="H18" s="5" t="inlineStr">
        <is>
          <t xml:space="preserve">—</t>
        </is>
      </c>
      <c r="I18" s="5" t="inlineStr">
        <is>
          <t xml:space="preserve">—</t>
        </is>
      </c>
      <c r="J18" s="5" t="inlineStr">
        <is>
          <t xml:space="preserve">—</t>
        </is>
      </c>
      <c r="K18" s="10">
        <f>IF(OR(NOT(ISNUMBER($B$3)),NOT(ISNUMBER($B$4)),NOT(ISNUMBER($B$5))),"待校准",MAX(1044036*1048576/(B3*1e12)*1000,8120.53125*1048576/(B4*1000000000)*1000,B5))</f>
        <v>60.8213869714</v>
      </c>
      <c r="L18" s="13" t="inlineStr">
        <is>
          <t xml:space="preserve">参数化下限</t>
        </is>
      </c>
      <c r="M18" s="7" t="inlineStr">
        <is>
          <t xml:space="preserve">chunks=128/128/128；strict total含Conv、不含GDN BMM；Llaunch=0；补充GDN-BMM估算=2376 MiFLOP（每核 critical-path proxy；芯片聚合约×8）</t>
        </is>
      </c>
    </row>
    <row r="19" ht="22" customHeight="1">
      <c r="A19" s="5" t="inlineStr">
        <is>
          <t xml:space="preserve">Action decoder</t>
        </is>
      </c>
      <c r="B19" s="5" t="inlineStr">
        <is>
          <t xml:space="preserve">max prefix384, 10 steps</t>
        </is>
      </c>
      <c r="C19" s="15">
        <v>136800</v>
      </c>
      <c r="D19" s="15">
        <v>4080</v>
      </c>
      <c r="E19" s="15">
        <v>3720</v>
      </c>
      <c r="F19" s="5" t="inlineStr">
        <is>
          <t xml:space="preserve">—</t>
        </is>
      </c>
      <c r="G19" s="5" t="inlineStr">
        <is>
          <t xml:space="preserve">—</t>
        </is>
      </c>
      <c r="H19" s="5" t="inlineStr">
        <is>
          <t xml:space="preserve">—</t>
        </is>
      </c>
      <c r="I19" s="5" t="inlineStr">
        <is>
          <t xml:space="preserve">—</t>
        </is>
      </c>
      <c r="J19" s="5" t="inlineStr">
        <is>
          <t xml:space="preserve">—</t>
        </is>
      </c>
      <c r="K19" s="10">
        <f>IF(OR(NOT(ISNUMBER($B$3)),NOT(ISNUMBER($B$4)),NOT(ISNUMBER($B$5))),"待校准",MAX(136800*1048576/(B3*1e12)*1000,4080*1048576/(B4*1000000000)*1000,B5))</f>
        <v>30.5585005714</v>
      </c>
      <c r="L19" s="13" t="inlineStr">
        <is>
          <t xml:space="preserve">参数化下限</t>
        </is>
      </c>
      <c r="M19" s="7" t="inlineStr">
        <is>
          <t xml:space="preserve">SDPA KV=416; six full layers；Llaunch=0</t>
        </is>
      </c>
    </row>
    <row r="20" ht="30" customHeight="1">
      <c r="A20" s="5" t="inlineStr">
        <is>
          <t xml:space="preserve">请求合计</t>
        </is>
      </c>
      <c r="B20" s="5" t="inlineStr">
        <is>
          <t xml:space="preserve">max admitted envelope</t>
        </is>
      </c>
      <c r="C20" s="15">
        <v>1417359</v>
      </c>
      <c r="D20" s="15">
        <v>14081.53125</v>
      </c>
      <c r="E20" s="15">
        <v>13458.28125</v>
      </c>
      <c r="F20" s="5" t="inlineStr">
        <is>
          <t xml:space="preserve">—</t>
        </is>
      </c>
      <c r="G20" s="5" t="inlineStr">
        <is>
          <t xml:space="preserve">—</t>
        </is>
      </c>
      <c r="H20" s="5" t="inlineStr">
        <is>
          <t xml:space="preserve">—</t>
        </is>
      </c>
      <c r="I20" s="5" t="inlineStr">
        <is>
          <t xml:space="preserve">—</t>
        </is>
      </c>
      <c r="J20" s="5" t="inlineStr">
        <is>
          <t xml:space="preserve">—</t>
        </is>
      </c>
      <c r="K20" s="10">
        <f>IF(OR(NOT(ISNUMBER($B$3)),NOT(ISNUMBER($B$4)),NOT(ISNUMBER($B$5))),"待校准",MAX(1417359*1048576/(B3*1e12)*1000,14081.53125*1048576/(B4*1000000000)*1000,B5))</f>
        <v>105.468255086</v>
      </c>
      <c r="L20" s="13" t="inlineStr">
        <is>
          <t xml:space="preserve">参数化下限</t>
        </is>
      </c>
      <c r="M20" s="7" t="inlineStr">
        <is>
          <t xml:space="preserve">严格已知 FLOPs；权重流量按每图/每chunk/每step重新stream假设；不含activation/KV/host；Llaunch=0；补充GDN-BMM估算=2376 MiFLOP（每核 critical-path proxy；芯片聚合约×8）</t>
        </is>
      </c>
    </row>
    <row r="22" ht="28" customHeight="1">
      <c r="A22" s="3" t="inlineStr">
        <is>
          <t xml:space="preserve">独立 pure-GEMM 诊断面板（仅 Action ACC32；不等于整网峰值）</t>
        </is>
      </c>
    </row>
    <row r="23" ht="34" customHeight="1">
      <c r="A23" s="4" t="inlineStr">
        <is>
          <t xml:space="preserve">profile</t>
        </is>
      </c>
      <c r="B23" s="4" t="inlineStr">
        <is>
          <t xml:space="preserve">global/local shape</t>
        </is>
      </c>
      <c r="C23" s="4" t="inlineStr">
        <is>
          <t xml:space="preserve">release tile</t>
        </is>
      </c>
      <c r="D23" s="4" t="inlineStr">
        <is>
          <t xml:space="preserve">Compute critical
µs</t>
        </is>
      </c>
      <c r="E23" s="4" t="inlineStr">
        <is>
          <t xml:space="preserve">Host replay p50
µs</t>
        </is>
      </c>
      <c r="F23" s="4" t="inlineStr">
        <is>
          <t xml:space="preserve">有效 TFLOP/s</t>
        </is>
      </c>
      <c r="G23" s="4" t="inlineStr">
        <is>
          <t xml:space="preserve">条件/边界</t>
        </is>
      </c>
    </row>
    <row r="24" ht="34" customHeight="1">
      <c r="A24" s="7" t="inlineStr">
        <is>
          <t xml:space="preserve">q/k/v/gate/up</t>
        </is>
      </c>
      <c r="B24" s="7" t="inlineStr">
        <is>
          <t xml:space="preserve">[32,2048,1024] / [32,256,1024]</t>
        </is>
      </c>
      <c r="C24" s="7" t="inlineStr">
        <is>
          <t xml:space="preserve">n=112,m=240</t>
        </is>
      </c>
      <c r="D24" s="15">
        <v>35.111</v>
      </c>
      <c r="E24" s="15">
        <v>68.194</v>
      </c>
      <c r="F24" s="15">
        <v>3.822669</v>
      </c>
      <c r="G24" s="7" t="inlineStr">
        <is>
          <t xml:space="preserve">FP16 weight + ACC32; 8 cores; 5 warmup+40 replay</t>
        </is>
      </c>
    </row>
    <row r="25" ht="34" customHeight="1">
      <c r="A25" s="7" t="inlineStr">
        <is>
          <t xml:space="preserve">o/down</t>
        </is>
      </c>
      <c r="B25" s="7" t="inlineStr">
        <is>
          <t xml:space="preserve">[32,1024,2048] / [32,1024,256]</t>
        </is>
      </c>
      <c r="C25" s="7" t="inlineStr">
        <is>
          <t xml:space="preserve">n=32,m=496</t>
        </is>
      </c>
      <c r="D25" s="15">
        <v>33.761</v>
      </c>
      <c r="E25" s="15">
        <v>67.886</v>
      </c>
      <c r="F25" s="15">
        <v>3.975526</v>
      </c>
      <c r="G25" s="7" t="inlineStr">
        <is>
          <t xml:space="preserve">FP16 weight + ACC32; 8 cores; 5 warmup+40 replay</t>
        </is>
      </c>
    </row>
    <row r="26" ht="34" customHeight="1">
      <c r="A26" s="7" t="inlineStr">
        <is>
          <t xml:space="preserve">qkv fastest observed</t>
        </is>
      </c>
      <c r="B26" s="7" t="inlineStr">
        <is>
          <t xml:space="preserve">[32,2048,1024] / [32,256,1024]</t>
        </is>
      </c>
      <c r="C26" s="7" t="inlineStr">
        <is>
          <t xml:space="preserve">n=32,m=496</t>
        </is>
      </c>
      <c r="D26" s="15">
        <v>34.693</v>
      </c>
      <c r="E26" s="15">
        <v>68.347</v>
      </c>
      <c r="F26" s="15">
        <v>3.868726</v>
      </c>
      <c r="G26" s="7" t="inlineStr">
        <is>
          <t xml:space="preserve">diagnostic variant; run-to-run spread, not promotion</t>
        </is>
      </c>
    </row>
    <row r="27" ht="34" customHeight="1">
      <c r="A27" s="7" t="inlineStr">
        <is>
          <t xml:space="preserve">o/down fastest observed</t>
        </is>
      </c>
      <c r="B27" s="7" t="inlineStr">
        <is>
          <t xml:space="preserve">[32,1024,2048] / [32,1024,256]</t>
        </is>
      </c>
      <c r="C27" s="7" t="inlineStr">
        <is>
          <t xml:space="preserve">n=48,m=416</t>
        </is>
      </c>
      <c r="D27" s="15">
        <v>33.754</v>
      </c>
      <c r="E27" s="15">
        <v>67.04</v>
      </c>
      <c r="F27" s="15">
        <v>3.97635</v>
      </c>
      <c r="G27" s="7" t="inlineStr">
        <is>
          <t xml:space="preserve">diagnostic variant; run-to-run spread, not promotion</t>
        </is>
      </c>
    </row>
    <row r="28" ht="34" customHeight="1">
      <c r="A28" s="7" t="inlineStr">
        <is>
          <t xml:space="preserve">来源：skills/rhinoforge-kernel-opt/references/hxcc-optimization-playbook.md §Corrected standalone pure-GEMM panel；Compute 是重叠 core critical path，host replay/build/权重常驻条件与整网不同。</t>
        </is>
      </c>
    </row>
  </sheetData>
  <mergeCells count="5">
    <mergeCell ref="A1:M1"/>
    <mergeCell ref="A2:M2"/>
    <mergeCell ref="B6:M6"/>
    <mergeCell ref="A22:M22"/>
    <mergeCell ref="A28:M28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 showGridLines="1">
      <pane xSplit="0" ySplit="4" topLeftCell="A5" activePane="bottomRight" state="frozen"/>
    </sheetView>
  </sheetViews>
  <cols>
    <col min="1" max="1" width="22" customWidth="1"/>
    <col min="2" max="2" width="52" customWidth="1"/>
    <col min="3" max="3" width="64" customWidth="1"/>
    <col min="4" max="4" width="58" customWidth="1"/>
  </cols>
  <sheetData>
    <row r="1">
      <c r="A1" s="1" t="inlineStr">
        <is>
          <t xml:space="preserve">口径、架构事实与证据边界（发布前请先读）</t>
        </is>
      </c>
    </row>
    <row r="2">
      <c r="A2" s="2" t="inlineStr">
        <is>
          <t xml:space="preserve">本页把可复核事实、历史诊断和假设分开；任何‘待校准’单元格都不能用 Thor 数值替代。</t>
        </is>
      </c>
    </row>
    <row r="4">
      <c r="A4" s="4" t="inlineStr">
        <is>
          <t xml:space="preserve">主题</t>
        </is>
      </c>
      <c r="B4" s="4" t="inlineStr">
        <is>
          <t xml:space="preserve">结论/取值</t>
        </is>
      </c>
      <c r="C4" s="4" t="inlineStr">
        <is>
          <t xml:space="preserve">本地证据（路径/范围）</t>
        </is>
      </c>
      <c r="D4" s="4" t="inlineStr">
        <is>
          <t xml:space="preserve">对表格的影响</t>
        </is>
      </c>
    </row>
    <row r="5" ht="48" customHeight="1">
      <c r="A5" s="5" t="inlineStr">
        <is>
          <t xml:space="preserve">精确模型</t>
        </is>
      </c>
      <c r="B5" s="5" t="inlineStr">
        <is>
          <t xml:space="preserve">Wall Qwen3.5 local checkpoint; Source-only controlled profile</t>
        </is>
      </c>
      <c r="C5" s="7" t="inlineStr">
        <is>
          <t xml:space="preserve">docs/wall_qwen35_ready_profile_assessment.md §1,§6</t>
        </is>
      </c>
      <c r="D5" s="5" t="inlineStr">
        <is>
          <t xml:space="preserve">不是通用 Qwen3.5/Wall-OSS 性能继承</t>
        </is>
      </c>
    </row>
    <row r="6" ht="48" customHeight="1">
      <c r="A6" s="5" t="inlineStr">
        <is>
          <t xml:space="preserve">输入 envelope</t>
        </is>
      </c>
      <c r="B6" s="5" t="inlineStr">
        <is>
          <t xml:space="preserve">batch=1; 3 cameras; grids [1,8,14]+[1,10,14]×2; action [1,32,26]; 10 steps; prefix≤384</t>
        </is>
      </c>
      <c r="C6" s="7" t="inlineStr">
        <is>
          <t xml:space="preserve">docs/wall_qwen35_ready_profile_assessment.md:11-15; python/rpu_backend/adapters/wall_qwen35/preprocessing.py</t>
        </is>
      </c>
      <c r="D6" s="5" t="inlineStr">
        <is>
          <t xml:space="preserve">Vision M=112/140/140; text bucket 64..384; action prefix is semantic</t>
        </is>
      </c>
    </row>
    <row r="7" ht="48" customHeight="1">
      <c r="A7" s="5" t="inlineStr">
        <is>
          <t xml:space="preserve">Vision execution</t>
        </is>
      </c>
      <c r="B7" s="5" t="inlineStr">
        <is>
          <t xml:space="preserve">STEP0 patch_embed + 24 blocks + in-graph merger; two retained geometry signatures</t>
        </is>
      </c>
      <c r="C7" s="7" t="inlineStr">
        <is>
          <t xml:space="preserve">python/rpu_backend/adapters/qwen3_5/vision.py:675-677,864-865,1118-1149; python/rpu_backend/adapters/wall_qwen35/runtime.py:247-276</t>
        </is>
      </c>
      <c r="D7" s="5" t="inlineStr">
        <is>
          <t xml:space="preserve">analysis assumes weight streaming repeats for 3 calls; two geometry signatures are retained</t>
        </is>
      </c>
    </row>
    <row r="8" ht="48" customHeight="1">
      <c r="A8" s="5" t="inlineStr">
        <is>
          <t xml:space="preserve">Text layer pattern</t>
        </is>
      </c>
      <c r="B8" s="5" t="inlineStr">
        <is>
          <t xml:space="preserve">18 GDN/linear layers + 6 full layers (full every fourth); cache-only, no lm_head</t>
        </is>
      </c>
      <c r="C8" s="7" t="inlineStr">
        <is>
          <t xml:space="preserve">config.json; src/fused/rpu_qwen3_5_model.cpp:694-707; docs/wall_qwen35_ready_profile_assessment.md:14</t>
        </is>
      </c>
      <c r="D8" s="5" t="inlineStr">
        <is>
          <t xml:space="preserve">GDN row is not ‘linear attention’ FLOP-equivalent to Thor shorthand</t>
        </is>
      </c>
    </row>
    <row r="9" ht="48" customHeight="1">
      <c r="A9" s="5" t="inlineStr">
        <is>
          <t xml:space="preserve">Text bucket</t>
        </is>
      </c>
      <c r="B9" s="5" t="inlineStr">
        <is>
          <t xml:space="preserve">canonical observed 308→320; max admitted 384; chunk ceiling 128; chunks 128/128/(64 or128)</t>
        </is>
      </c>
      <c r="C9" s="7" t="inlineStr">
        <is>
          <t xml:space="preserve">python/rpu_backend/adapters/qwen3_5/text.py:115-232,963-1100; wall_qwen35/preprocessing.py:29-36</t>
        </is>
      </c>
      <c r="D9" s="5" t="inlineStr">
        <is>
          <t xml:space="preserve">weight traffic repeats per chunk; arithmetic uses total physical bucket rows</t>
        </is>
      </c>
    </row>
    <row r="10" ht="48" customHeight="1">
      <c r="A10" s="5" t="inlineStr">
        <is>
          <t xml:space="preserve">Action execution</t>
        </is>
      </c>
      <c r="B10" s="5" t="inlineStr">
        <is>
          <t xml:space="preserve">24 layers = 18 identity mixers + 6 full attention [3,7,11,15,19,23]; ACC32</t>
        </is>
      </c>
      <c r="C10" s="7" t="inlineStr">
        <is>
          <t xml:space="preserve">src/fused/rpu_qwen3_5_model.h:111-114; src/fused/rpu_qwen3_5_model.cpp:39-51,694-707; action.py:749-752</t>
        </is>
      </c>
      <c r="D10" s="5" t="inlineStr">
        <is>
          <t xml:space="preserve">do not label the 18 identity layers as GDN/linear-attention</t>
        </is>
      </c>
    </row>
    <row r="11" ht="48" customHeight="1">
      <c r="A11" s="5" t="inlineStr">
        <is>
          <t xml:space="preserve">KV replication</t>
        </is>
      </c>
      <c r="B11" s="5" t="inlineStr">
        <is>
          <t xml:space="preserve">logical KV=2 heads; RPU full-attention effective KV=8; physical QKV+gate N=8192 vs logical N=5120</t>
        </is>
      </c>
      <c r="C11" s="7" t="inlineStr">
        <is>
          <t xml:space="preserve">python/rpu_backend/adapters/qwen3_5/text.py:319-332,637-646,778-784; src/fused/rpu_qwen3_5_model.cpp:924-929</t>
        </is>
      </c>
      <c r="D11" s="5" t="inlineStr">
        <is>
          <t xml:space="preserve">physical parameter/traffic rows exceed Thor logical shorthand</t>
        </is>
      </c>
    </row>
    <row r="12" ht="48" customHeight="1">
      <c r="A12" s="5" t="inlineStr">
        <is>
          <t xml:space="preserve">GDN b/a padding</t>
        </is>
      </c>
      <c r="B12" s="5" t="inlineStr">
        <is>
          <t xml:space="preserve">logical b/a=16 each; RPU N_bg=128 (16 slots/core ×8 cores)</t>
        </is>
      </c>
      <c r="C12" s="7" t="inlineStr">
        <is>
          <t xml:space="preserve">src/fused/rpu_qwen3_5_model.cpp:1111-1118; python/rpu_backend/adapters/qwen3_5/text.py:680-706</t>
        </is>
      </c>
      <c r="D12" s="5" t="inlineStr">
        <is>
          <t xml:space="preserve">physical projection width=8448 vs logical 8224</t>
        </is>
      </c>
    </row>
    <row r="13" ht="48" customHeight="1">
      <c r="A13" s="5" t="inlineStr">
        <is>
          <t xml:space="preserve">RPU hardware</t>
        </is>
      </c>
      <c r="B13" s="5" t="inlineStr">
        <is>
          <t xml:space="preserve">8 cores; 8 MiB SPM/core; conservative usable≈7.5 MiB/core; FP16 primary</t>
        </is>
      </c>
      <c r="C13" s="7" t="inlineStr">
        <is>
          <t xml:space="preserve">docs/architecture.md:146-148; docs/model_porting_capability_review.md:93-116</t>
        </is>
      </c>
      <c r="D13" s="5" t="inlineStr">
        <is>
          <t xml:space="preserve">SPM/FP16 constraints are included; no MXFP8 assumption</t>
        </is>
      </c>
    </row>
    <row r="14" ht="48" customHeight="1">
      <c r="A14" s="5" t="inlineStr">
        <is>
          <t xml:space="preserve">Operator assets</t>
        </is>
      </c>
      <c r="B14" s="5" t="inlineStr">
        <is>
          <t xml:space="preserve">runtime-v1.0.0-r4 manifest has FP16 GEMM/parallel_linear, FlashAttention, GDN conv, norm/rope; no MXFP8 Wall asset or GEMM epilogue fusion</t>
        </is>
      </c>
      <c r="C14" s="7" t="inlineStr">
        <is>
          <t xml:space="preserve">runtime manifest .kernels; skills/rhinoforge-kernel-opt/references/kernel-profiles.md</t>
        </is>
      </c>
      <c r="D14" s="5" t="inlineStr">
        <is>
          <t xml:space="preserve">all weights counted as FP16; fused arms are not promoted</t>
        </is>
      </c>
    </row>
    <row r="15" ht="48" customHeight="1">
      <c r="A15" s="5" t="inlineStr">
        <is>
          <t xml:space="preserve">Peak compute/BW</t>
        </is>
      </c>
      <c r="B15" s="5" t="inlineStr">
        <is>
          <t xml:space="preserve">情景 B3=100 TFLOP/s、DDR=140 GB/s；B3=100 对应 100 TOPS 按 2 operations/MAC，若按 1 operation/MAC 则填 200；非 vendor attestation</t>
        </is>
      </c>
      <c r="C15" s="7" t="inlineStr">
        <is>
          <t xml:space="preserve">用户本轮输入；repo boundary: skills/rhinoforge-kernel-opt/validation/local-capability-2026-08-31.md:230-276; docs/runtime_config.md:503-507</t>
        </is>
      </c>
      <c r="D15" s="5" t="inlineStr">
        <is>
          <t xml:space="preserve">统一 FP16 roofline 情景；Action 的 ACC32 实测面板不用于校准 Vision/Text；禁止沿用 Thor 258.5/517/273</t>
        </is>
      </c>
    </row>
    <row r="16" ht="48" customHeight="1">
      <c r="A16" s="5" t="inlineStr">
        <is>
          <t xml:space="preserve">Board availability</t>
        </is>
      </c>
      <c r="B16" s="5" t="inlineStr">
        <is>
          <t xml:space="preserve">current container has no /dev/rpu* or /dev/mem; verify_install reports RPU unavailable</t>
        </is>
      </c>
      <c r="C16" s="7" t="inlineStr">
        <is>
          <t xml:space="preserve">local capability receipt 2026-08-31; probe 2026-09-03</t>
        </is>
      </c>
      <c r="D16" s="5" t="inlineStr">
        <is>
          <t xml:space="preserve">no new kernel/peak campaign was run</t>
        </is>
      </c>
    </row>
    <row r="17" ht="48" customHeight="1">
      <c r="A17" s="5" t="inlineStr">
        <is>
          <t xml:space="preserve">HWPerf evidence</t>
        </is>
      </c>
      <c r="B17" s="5" t="inlineStr">
        <is>
          <t xml:space="preserve">16 r4 JSON segments, 800 MHz conversion: Vision≈30.138ms; prefill≈98.663ms; action≈51.193ms</t>
        </is>
      </c>
      <c r="C17" s="7" t="inlineStr">
        <is>
          <t xml:space="preserve">historical Wall Qwen3.5 HWPerf probe (2026-09-02); raw traces kept outside repo</t>
        </is>
      </c>
      <c r="D17" s="5" t="inlineStr">
        <is>
          <t xml:space="preserve">diagnostic device critical path only; not latency/certification</t>
        </is>
      </c>
    </row>
    <row r="18" ht="48" customHeight="1">
      <c r="A18" s="5" t="inlineStr">
        <is>
          <t xml:space="preserve">Profiler evidence</t>
        </is>
      </c>
      <c r="B18" s="5" t="inlineStr">
        <is>
          <t xml:space="preserve">historical superseded candidate: full API CPU scope≈445.671ms; no immutable source receipt; not current implementation evidence</t>
        </is>
      </c>
      <c r="C18" s="7" t="inlineStr">
        <is>
          <t xml:space="preserve">wall_qwen35_torch_profile_20260903 summary (sensitive raw trace retained outside repo)</t>
        </is>
      </c>
      <c r="D18" s="5" t="inlineStr">
        <is>
          <t xml:space="preserve">profiler overhead and host scope included; not clean benchmark</t>
        </is>
      </c>
    </row>
    <row r="19" ht="48" customHeight="1">
      <c r="A19" s="5" t="inlineStr">
        <is>
          <t xml:space="preserve">Weight traffic assumption</t>
        </is>
      </c>
      <c r="B19" s="5" t="inlineStr">
        <is>
          <t xml:space="preserve">scenario assumes parameter bytes are re-streamed per graph/chunk/step; not mandatory DDR traffic</t>
        </is>
      </c>
      <c r="C19" s="7" t="inlineStr">
        <is>
          <t xml:space="preserve">analysis convention aligned to supplied workbook row9-11; GEMM internal weight reads are not explicit DMA events</t>
        </is>
      </c>
      <c r="D19" s="5" t="inlineStr">
        <is>
          <t xml:space="preserve">optimistic/incomplete lower-bound ledger; activation/KV/cache/launch add cost</t>
        </is>
      </c>
    </row>
    <row r="20" ht="48" customHeight="1">
      <c r="A20" s="5" t="inlineStr">
        <is>
          <t xml:space="preserve">Omitted work</t>
        </is>
      </c>
      <c r="B20" s="5" t="inlineStr">
        <is>
          <t xml:space="preserve">norm, rope, residual, all-reduce, elementwise, GDN conv/delta details, cache refresh, host preprocess/action I/O/Euler</t>
        </is>
      </c>
      <c r="C20" s="7" t="inlineStr">
        <is>
          <t xml:space="preserve">source emitters and runtime.py; see notes in wide sheets</t>
        </is>
      </c>
      <c r="D20" s="5" t="inlineStr">
        <is>
          <t xml:space="preserve">strict FLOP total is a floor on modeled arithmetic, not a full chip roofline</t>
        </is>
      </c>
    </row>
    <row r="21" ht="48" customHeight="1">
      <c r="A21" s="5" t="inlineStr">
        <is>
          <t xml:space="preserve">Formula</t>
        </is>
      </c>
      <c r="B21" s="5" t="inlineStr">
        <is>
          <t xml:space="preserve">MiFLOP=2MNK/2^20; Tcomp=F×2^20/(P×10^12)×1000; Tmem=MiB×2^20/(GB/s×10^9)×1000</t>
        </is>
      </c>
      <c r="C21" s="7" t="inlineStr">
        <is>
          <t xml:space="preserve">skills/rhinoforge-kernel-opt/SKILL.md §Performance floor; docs/performance.md</t>
        </is>
      </c>
      <c r="D21" s="5" t="inlineStr">
        <is>
          <t xml:space="preserve">roofline=max(compute,memory,launch/replay) after calibration</t>
        </is>
      </c>
    </row>
    <row r="22" ht="48" customHeight="1">
      <c r="A22" s="5" t="inlineStr">
        <is>
          <t xml:space="preserve">Validation status</t>
        </is>
      </c>
      <c r="B22" s="5" t="inlineStr">
        <is>
          <t xml:space="preserve">Source-only; Vision numeric-blocked; same-dtype/FP32-anchor/task/release gates pending</t>
        </is>
      </c>
      <c r="C22" s="7" t="inlineStr">
        <is>
          <t xml:space="preserve">docs/model_support.md; docs/wall_qwen35_ready_profile_assessment.md §6</t>
        </is>
      </c>
      <c r="D22" s="5" t="inlineStr">
        <is>
          <t xml:space="preserve">numbers are engineering analysis, not support/certification claim</t>
        </is>
      </c>
    </row>
    <row r="23" ht="48" customHeight="1">
      <c r="A23" s="5" t="inlineStr">
        <is>
          <t xml:space="preserve">Pure-GEMM panel</t>
        </is>
      </c>
      <c r="B23" s="5" t="inlineStr">
        <is>
          <t xml:space="preserve">Action ACC32 exact-shape diagnostic: roughly 3.82 TFLOP/s (qkv) and 3.98 TFLOP/s (o/down)</t>
        </is>
      </c>
      <c r="C23" s="7" t="inlineStr">
        <is>
          <t xml:space="preserve">skills/rhinoforge-kernel-opt/references/hxcc-optimization-playbook.md §Corrected standalone pure-GEMM panel</t>
        </is>
      </c>
      <c r="D23" s="5" t="inlineStr">
        <is>
          <t xml:space="preserve">operator-only evidence; cannot be promoted to a universal RPU peak or extrapolated to Vision/Text</t>
        </is>
      </c>
    </row>
  </sheetData>
  <mergeCells count="2">
    <mergeCell ref="A1:D1"/>
    <mergeCell ref="A2:D2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Wall Qwen3.5 RPU performance upper-bound analysis</dc:title>
  <dc:creator>RhinoForge</dc:creator>
  <cp:lastModifiedBy>RhinoForge</cp:lastModifiedBy>
</cp:coreProperties>
</file>